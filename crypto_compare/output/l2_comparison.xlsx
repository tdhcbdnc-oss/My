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Сравнение" sheetId="1" state="visible" r:id="rId1"/>
    <sheet name="Расчёт" sheetId="2" state="visible" r:id="rId2"/>
    <sheet name="Веса" sheetId="3" state="visible" r:id="rId3"/>
    <sheet name="Инструкция" sheetId="4" state="visible" r:id="rId4"/>
    <sheet name="Источники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\x"/>
    <numFmt numFmtId="167" formatCode="0.0\x"/>
    <numFmt numFmtId="168" formatCode="#,##0.##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595959"/>
      <sz val="10"/>
    </font>
    <font>
      <name val="Arial"/>
      <charset val="1"/>
      <family val="0"/>
      <i val="1"/>
      <color rgb="FF9C0006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i val="1"/>
      <color rgb="FF9C0006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595959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b val="1"/>
      <sz val="10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general" vertical="bottom"/>
    </xf>
    <xf numFmtId="49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" fontId="11" fillId="4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" fontId="12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2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general" vertical="bottom"/>
    </xf>
    <xf numFmtId="49" fontId="11" fillId="4" borderId="1" applyAlignment="1" pivotButton="0" quotePrefix="0" xfId="0">
      <alignment horizontal="general" vertical="bottom"/>
    </xf>
    <xf numFmtId="3" fontId="11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" fontId="12" fillId="0" borderId="1" applyAlignment="1" pivotButton="0" quotePrefix="0" xfId="0">
      <alignment horizontal="center" vertical="bottom"/>
    </xf>
    <xf numFmtId="3" fontId="11" fillId="7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2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4" fillId="0" borderId="0" pivotButton="0" quotePrefix="0" xfId="0"/>
    <xf numFmtId="0" fontId="25" fillId="0" borderId="0" pivotButton="0" quotePrefix="0" xfId="0"/>
    <xf numFmtId="168" fontId="0" fillId="0" borderId="0" pivotButton="0" quotePrefix="0" xfId="0"/>
    <xf numFmtId="0" fontId="0" fillId="5" borderId="0" pivotButton="0" quotePrefix="0" xfId="0"/>
    <xf numFmtId="168" fontId="0" fillId="5" borderId="0" pivotButton="0" quotePrefix="0" xfId="0"/>
    <xf numFmtId="165" fontId="0" fillId="5" borderId="0" pivotButton="0" quotePrefix="0" xfId="0"/>
    <xf numFmtId="0" fontId="0" fillId="7" borderId="0" pivotButton="0" quotePrefix="0" xfId="0"/>
    <xf numFmtId="168" fontId="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9C0006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collect.py</author>
  </authors>
  <commentList>
    <comment ref="C5" authorId="0" shapeId="0">
      <text>
        <t>CoinGecko, 30.09.2026</t>
      </text>
    </comment>
    <comment ref="D5" authorId="0" shapeId="0">
      <text>
        <t>CoinGecko, 30.09.2026</t>
      </text>
    </comment>
    <comment ref="E5" authorId="0" shapeId="0">
      <text>
        <t>DeFiLlama, 30.09.2026
на 2026-09-30</t>
      </text>
    </comment>
    <comment ref="F5" authorId="0" shapeId="0">
      <text>
        <t>DeFiLlama, 30.09.2026
на 2026-04-01</t>
      </text>
    </comment>
    <comment ref="G5" authorId="0" shapeId="0">
      <text>
        <t>Artemis, 30.09.2026
медиана за 7 дн до 2026-09-29</t>
      </text>
    </comment>
    <comment ref="H5" authorId="0" shapeId="0">
      <text>
        <t>Artemis, 30.09.2026
медиана за 7 дн до 2026-04-01</t>
      </text>
    </comment>
    <comment ref="I5" authorId="0" shapeId="0">
      <text>
        <t>DeFiLlama, 30.09.2026
комиссии за 365 дн (Arbitrum)</t>
      </text>
    </comment>
    <comment ref="C6" authorId="0" shapeId="0">
      <text>
        <t>CoinGecko, 30.09.2026</t>
      </text>
    </comment>
    <comment ref="D6" authorId="0" shapeId="0">
      <text>
        <t>CoinGecko, 30.09.2026</t>
      </text>
    </comment>
    <comment ref="E6" authorId="0" shapeId="0">
      <text>
        <t>DeFiLlama, 30.09.2026
на 2026-09-30</t>
      </text>
    </comment>
    <comment ref="F6" authorId="0" shapeId="0">
      <text>
        <t>DeFiLlama, 30.09.2026
на 2026-04-01</t>
      </text>
    </comment>
    <comment ref="G6" authorId="0" shapeId="0">
      <text>
        <t>Artemis, 30.09.2026
медиана за 7 дн до 2026-09-29</t>
      </text>
    </comment>
    <comment ref="H6" authorId="0" shapeId="0">
      <text>
        <t>Artemis, 30.09.2026
медиана за 7 дн до 2026-04-01</t>
      </text>
    </comment>
    <comment ref="I6" authorId="0" shapeId="0">
      <text>
        <t>DeFiLlama, 30.09.2026
комиссии за 365 дн (OP Mainnet)</t>
      </text>
    </comment>
    <comment ref="E7" authorId="0" shapeId="0">
      <text>
        <t>DeFiLlama, 30.09.2026
на 2026-09-30</t>
      </text>
    </comment>
    <comment ref="F7" authorId="0" shapeId="0">
      <text>
        <t>DeFiLlama, 30.09.2026
на 2026-04-01</t>
      </text>
    </comment>
    <comment ref="G7" authorId="0" shapeId="0">
      <text>
        <t>Artemis, 30.09.2026
медиана за 7 дн до 2026-09-29</t>
      </text>
    </comment>
    <comment ref="H7" authorId="0" shapeId="0">
      <text>
        <t>Artemis, 30.09.2026
медиана за 7 дн до 2026-04-01</t>
      </text>
    </comment>
    <comment ref="I7" authorId="0" shapeId="0">
      <text>
        <t>DeFiLlama, 30.09.2026
комиссии за 365 дн (Base)</t>
      </text>
    </comment>
    <comment ref="C8" authorId="0" shapeId="0">
      <text>
        <t>CoinGecko, 30.09.2026</t>
      </text>
    </comment>
    <comment ref="D8" authorId="0" shapeId="0">
      <text>
        <t>CoinGecko, 30.09.2026</t>
      </text>
    </comment>
    <comment ref="E8" authorId="0" shapeId="0">
      <text>
        <t>DeFiLlama, 30.09.2026
на 2026-09-30</t>
      </text>
    </comment>
    <comment ref="F8" authorId="0" shapeId="0">
      <text>
        <t>DeFiLlama, 30.09.2026
на 2026-04-01</t>
      </text>
    </comment>
    <comment ref="G8" authorId="0" shapeId="0">
      <text>
        <t>Artemis, 30.09.2026
медиана за 7 дн до 2026-09-29</t>
      </text>
    </comment>
    <comment ref="H8" authorId="0" shapeId="0">
      <text>
        <t>Artemis, 30.09.2026
медиана за 7 дн до 2026-04-01</t>
      </text>
    </comment>
    <comment ref="I8" authorId="0" shapeId="0">
      <text>
        <t>DeFiLlama, 30.09.2026
комиссии за 365 дн (Mantle)</t>
      </text>
    </comment>
    <comment ref="C9" authorId="0" shapeId="0">
      <text>
        <t>CoinGecko, 30.09.2026</t>
      </text>
    </comment>
    <comment ref="D9" authorId="0" shapeId="0">
      <text>
        <t>CoinGecko, 30.09.2026</t>
      </text>
    </comment>
    <comment ref="E9" authorId="0" shapeId="0">
      <text>
        <t>DeFiLlama, 30.09.2026
на 2026-09-30</t>
      </text>
    </comment>
    <comment ref="F9" authorId="0" shapeId="0">
      <text>
        <t>DeFiLlama, 30.09.2026
на 2026-04-01</t>
      </text>
    </comment>
    <comment ref="G9" authorId="0" shapeId="0">
      <text>
        <t>Artemis, 30.09.2026
медиана за 7 дн до 2026-09-29. ⚠ ступенька в данных около 2026-08-03: медиана 14,768 → 1,956 за неделю — возможна смена методики источника, проверь вручную</t>
      </text>
    </comment>
    <comment ref="H9" authorId="0" shapeId="0">
      <text>
        <t>Artemis, 30.09.2026
медиана за 7 дн до 2026-04-01. ⚠ ступенька в данных около 2026-08-03: медиана 14,768 → 1,956 за неделю — возможна смена методики источника, проверь вручную</t>
      </text>
    </comment>
    <comment ref="I9" authorId="0" shapeId="0">
      <text>
        <t>DeFiLlama, 30.09.2026
комиссии за 365 дн (Starknet)</t>
      </text>
    </comment>
    <comment ref="C10" authorId="0" shapeId="0">
      <text>
        <t>CoinGecko, 30.09.2026</t>
      </text>
    </comment>
    <comment ref="D10" authorId="0" shapeId="0">
      <text>
        <t>CoinGecko, 30.09.2026</t>
      </text>
    </comment>
    <comment ref="E10" authorId="0" shapeId="0">
      <text>
        <t>DeFiLlama, 30.09.2026
на 2026-09-30</t>
      </text>
    </comment>
    <comment ref="F10" authorId="0" shapeId="0">
      <text>
        <t>DeFiLlama, 30.09.2026
на 2026-04-01</t>
      </text>
    </comment>
    <comment ref="G10" authorId="0" shapeId="0">
      <text>
        <t>Artemis, 30.09.2026
медиана за 7 дн до 2026-09-29</t>
      </text>
    </comment>
    <comment ref="H10" authorId="0" shapeId="0">
      <text>
        <t>Artemis, 30.09.2026
медиана за 7 дн до 2026-04-01</t>
      </text>
    </comment>
    <comment ref="I10" authorId="0" shapeId="0">
      <text>
        <t>DeFiLlama, 30.09.2026
комиссии за 365 дн (ZKsync Era)</t>
      </text>
    </comment>
    <comment ref="C11" authorId="0" shapeId="0">
      <text>
        <t>CoinGecko, 30.09.2026</t>
      </text>
    </comment>
    <comment ref="D11" authorId="0" shapeId="0">
      <text>
        <t>CoinGecko, 30.09.2026</t>
      </text>
    </comment>
    <comment ref="E11" authorId="0" shapeId="0">
      <text>
        <t>DeFiLlama, 30.09.2026
на 2026-09-30</t>
      </text>
    </comment>
    <comment ref="F11" authorId="0" shapeId="0">
      <text>
        <t>DeFiLlama, 30.09.2026
на 2026-04-01</t>
      </text>
    </comment>
    <comment ref="G11" authorId="0" shapeId="0">
      <text>
        <t>Artemis, 30.09.2026
медиана за 7 дн до 2026-09-29</t>
      </text>
    </comment>
    <comment ref="H11" authorId="0" shapeId="0">
      <text>
        <t>Artemis, 30.09.2026
медиана за 7 дн до 2026-04-01</t>
      </text>
    </comment>
    <comment ref="I11" authorId="0" shapeId="0">
      <text>
        <t>DeFiLlama, 30.09.2026
комиссии за 365 дн (Linea)</t>
      </text>
    </comment>
    <comment ref="C12" authorId="0" shapeId="0">
      <text>
        <t>CoinGecko, 30.09.2026</t>
      </text>
    </comment>
    <comment ref="D12" authorId="0" shapeId="0">
      <text>
        <t>CoinGecko, 30.09.2026</t>
      </text>
    </comment>
    <comment ref="E12" authorId="0" shapeId="0">
      <text>
        <t>DeFiLlama, 30.09.2026
на 2026-09-30. ⚠ изменение за 6 мес больше чем в 10 раз — проверь, реально ли это</t>
      </text>
    </comment>
    <comment ref="F12" authorId="0" shapeId="0">
      <text>
        <t>DeFiLlama, 30.09.2026
на 2026-04-01</t>
      </text>
    </comment>
    <comment ref="G12" authorId="0" shapeId="0">
      <text>
        <t>Artemis, 30.09.2026
медиана за 7 дн до 2026-05-26</t>
      </text>
    </comment>
    <comment ref="H12" authorId="0" shapeId="0">
      <text>
        <t>Artemis, 30.09.2026
медиана за 7 дн до 2026-04-01</t>
      </text>
    </comment>
    <comment ref="I12" authorId="0" shapeId="0">
      <text>
        <t>DeFiLlama, 30.09.2026
комиссии за 365 дн (Scroll)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oingecko.com/en/categories" TargetMode="External" Id="rId1" /><Relationship Type="http://schemas.openxmlformats.org/officeDocument/2006/relationships/hyperlink" Target="https://defillama.com/chains" TargetMode="External" Id="rId2" /><Relationship Type="http://schemas.openxmlformats.org/officeDocument/2006/relationships/hyperlink" Target="https://app.artemis.xyz/" TargetMode="External" Id="rId3" /><Relationship Type="http://schemas.openxmlformats.org/officeDocument/2006/relationships/hyperlink" Target="https://defillama.com/fees" TargetMode="External" Id="rId4" /><Relationship Type="http://schemas.openxmlformats.org/officeDocument/2006/relationships/hyperlink" Target="https://tokenterminal.com/" TargetMode="External" Id="rId5" /><Relationship Type="http://schemas.openxmlformats.org/officeDocument/2006/relationships/hyperlink" Target="https://app.artemis.xyz/" TargetMode="External" Id="rId6" /><Relationship Type="http://schemas.openxmlformats.org/officeDocument/2006/relationships/hyperlink" Target="https://tokenomist.ai/" TargetMode="External" Id="rId7" /><Relationship Type="http://schemas.openxmlformats.org/officeDocument/2006/relationships/hyperlink" Target="https://cryptorank.io/" TargetMode="External" Id="rId8" /><Relationship Type="http://schemas.openxmlformats.org/officeDocument/2006/relationships/hyperlink" Target="https://defillama.com/raises" TargetMode="External" Id="rId9" /><Relationship Type="http://schemas.openxmlformats.org/officeDocument/2006/relationships/hyperlink" Target="https://www.growthepie.xyz/" TargetMode="External" Id="rId10" /><Relationship Type="http://schemas.openxmlformats.org/officeDocument/2006/relationships/hyperlink" Target="https://l2beat.com/" TargetMode="External" Id="rId1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33" min="1" max="1"/>
    <col width="12" customWidth="1" style="33" min="2" max="2"/>
    <col width="14" customWidth="1" style="33" min="3" max="3"/>
    <col width="12" customWidth="1" style="33" min="4" max="5"/>
    <col width="14" customWidth="1" style="33" min="6" max="7"/>
    <col width="15" customWidth="1" style="33" min="8" max="8"/>
    <col width="14" customWidth="1" style="33" min="9" max="11"/>
    <col width="13" customWidth="1" style="33" min="12" max="12"/>
    <col width="11" customWidth="1" style="33" min="13" max="14"/>
    <col width="10" customWidth="1" style="33" min="15" max="15"/>
    <col width="11" customWidth="1" style="33" min="16" max="16"/>
    <col width="10" customWidth="1" style="33" min="17" max="17"/>
    <col width="12" customWidth="1" style="33" min="18" max="18"/>
    <col width="8" customWidth="1" style="33" min="19" max="19"/>
  </cols>
  <sheetData>
    <row r="1" ht="19.7" customHeight="1" s="34">
      <c r="A1" s="35" t="inlineStr">
        <is>
          <t>Сравнение крипто-экосистем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</row>
    <row r="2" ht="15" customHeight="1" s="34">
      <c r="A2" s="37" t="inlineStr">
        <is>
          <t>Обновлено 30.09.2026 скриптом collect.py. Голубые ячейки подтянуты из API (источник — в примечании к ячейке и на листе «Источники»), оранжевые — из API, но стоит проверить, жёлтые — ручной ввод. Зелёные колонки считаются автоматически.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15" customHeight="1" s="34">
      <c r="A3" s="38" t="inlineStr">
        <is>
          <t>ВВОД ДАННЫХ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9" t="inlineStr">
        <is>
          <t>≥10% подсвечивается красным</t>
        </is>
      </c>
      <c r="L3" s="36" t="n"/>
      <c r="M3" s="38" t="inlineStr">
        <is>
          <t>РАСЧЁТ (не трогать)</t>
        </is>
      </c>
      <c r="N3" s="36" t="n"/>
      <c r="O3" s="36" t="n"/>
      <c r="P3" s="36" t="n"/>
      <c r="Q3" s="36" t="n"/>
      <c r="R3" s="36" t="n"/>
      <c r="S3" s="36" t="n"/>
    </row>
    <row r="4" ht="57.75" customHeight="1" s="34">
      <c r="A4" s="40" t="inlineStr">
        <is>
          <t>Экосистема</t>
        </is>
      </c>
      <c r="B4" s="40" t="inlineStr">
        <is>
          <t>Категория</t>
        </is>
      </c>
      <c r="C4" s="40" t="inlineStr">
        <is>
          <t>Капитализация, $ млн</t>
        </is>
      </c>
      <c r="D4" s="40" t="inlineStr">
        <is>
          <t>FDV, $ млн</t>
        </is>
      </c>
      <c r="E4" s="40" t="inlineStr">
        <is>
          <t>TVL сейчас, $ млн</t>
        </is>
      </c>
      <c r="F4" s="40" t="inlineStr">
        <is>
          <t>TVL 6 мес назад, $ млн</t>
        </is>
      </c>
      <c r="G4" s="40" t="inlineStr">
        <is>
          <t>Активные адреса/день сейчас</t>
        </is>
      </c>
      <c r="H4" s="40" t="inlineStr">
        <is>
          <t>Активные адреса/день 6 мес назад</t>
        </is>
      </c>
      <c r="I4" s="40" t="inlineStr">
        <is>
          <t>Доход/комиссии за год, $ млн</t>
        </is>
      </c>
      <c r="J4" s="40" t="inlineStr">
        <is>
          <t>Активных разработчиков/мес</t>
        </is>
      </c>
      <c r="K4" s="40" t="inlineStr">
        <is>
          <t>Разлок за 6 мес, % предложения</t>
        </is>
      </c>
      <c r="L4" s="40" t="inlineStr">
        <is>
          <t>Инвесторы и команда, 1–5</t>
        </is>
      </c>
      <c r="M4" s="41" t="inlineStr">
        <is>
          <t>Рост TVL 6м</t>
        </is>
      </c>
      <c r="N4" s="41" t="inlineStr">
        <is>
          <t>Рост адресов 6м</t>
        </is>
      </c>
      <c r="O4" s="41" t="inlineStr">
        <is>
          <t>Mcap / TVL</t>
        </is>
      </c>
      <c r="P4" s="41" t="inlineStr">
        <is>
          <t>Mcap / Доход</t>
        </is>
      </c>
      <c r="Q4" s="41" t="inlineStr">
        <is>
          <t>FDV / Mcap</t>
        </is>
      </c>
      <c r="R4" s="41" t="inlineStr">
        <is>
          <t>Итоговый балл, 0–100</t>
        </is>
      </c>
      <c r="S4" s="41" t="inlineStr">
        <is>
          <t>Место</t>
        </is>
      </c>
    </row>
    <row r="5" ht="15" customHeight="1" s="34">
      <c r="A5" s="42" t="inlineStr">
        <is>
          <t>Arbitrum</t>
        </is>
      </c>
      <c r="B5" s="43" t="inlineStr">
        <is>
          <t>L2</t>
        </is>
      </c>
      <c r="C5" s="44" t="n">
        <v>1372.064196</v>
      </c>
      <c r="D5" s="44" t="n">
        <v>2022.030964</v>
      </c>
      <c r="E5" s="44" t="n">
        <v>1440.362091</v>
      </c>
      <c r="F5" s="44" t="n">
        <v>1926.991061</v>
      </c>
      <c r="G5" s="44" t="n">
        <v>135118</v>
      </c>
      <c r="H5" s="44" t="n">
        <v>161371</v>
      </c>
      <c r="I5" s="45" t="n">
        <v>10.394479</v>
      </c>
      <c r="J5" s="46" t="n"/>
      <c r="K5" s="47" t="n"/>
      <c r="L5" s="48" t="n"/>
      <c r="M5" s="49">
        <f>IF(OR(E5="",F5="",F5=0),"",E5/F5-1)</f>
        <v/>
      </c>
      <c r="N5" s="49">
        <f>IF(OR(G5="",H5="",H5=0),"",G5/H5-1)</f>
        <v/>
      </c>
      <c r="O5" s="50">
        <f>IF(OR(C5="",E5="",E5=0),"",C5/E5)</f>
        <v/>
      </c>
      <c r="P5" s="51">
        <f>IF(OR(C5="",I5="",I5=0),"",C5/I5)</f>
        <v/>
      </c>
      <c r="Q5" s="50">
        <f>IF(OR(C5="",D5="",C5=0),"",D5/C5)</f>
        <v/>
      </c>
      <c r="R5" s="52">
        <f>Расчёт!K5</f>
        <v/>
      </c>
      <c r="S5" s="52">
        <f>IF(R5="","",RANK(R5,$R$5:$R$14))</f>
        <v/>
      </c>
    </row>
    <row r="6" ht="15" customHeight="1" s="34">
      <c r="A6" s="42" t="inlineStr">
        <is>
          <t>Optimism</t>
        </is>
      </c>
      <c r="B6" s="43" t="inlineStr">
        <is>
          <t>L2</t>
        </is>
      </c>
      <c r="C6" s="44" t="n">
        <v>299.601738</v>
      </c>
      <c r="D6" s="44" t="n">
        <v>559.56066</v>
      </c>
      <c r="E6" s="44" t="n">
        <v>488.953651</v>
      </c>
      <c r="F6" s="44" t="n">
        <v>195.624571</v>
      </c>
      <c r="G6" s="44" t="n">
        <v>35710</v>
      </c>
      <c r="H6" s="44" t="n">
        <v>18509</v>
      </c>
      <c r="I6" s="45" t="n">
        <v>1.163975</v>
      </c>
      <c r="J6" s="46" t="n"/>
      <c r="K6" s="47" t="n"/>
      <c r="L6" s="48" t="n"/>
      <c r="M6" s="49">
        <f>IF(OR(E6="",F6="",F6=0),"",E6/F6-1)</f>
        <v/>
      </c>
      <c r="N6" s="49">
        <f>IF(OR(G6="",H6="",H6=0),"",G6/H6-1)</f>
        <v/>
      </c>
      <c r="O6" s="50">
        <f>IF(OR(C6="",E6="",E6=0),"",C6/E6)</f>
        <v/>
      </c>
      <c r="P6" s="51">
        <f>IF(OR(C6="",I6="",I6=0),"",C6/I6)</f>
        <v/>
      </c>
      <c r="Q6" s="50">
        <f>IF(OR(C6="",D6="",C6=0),"",D6/C6)</f>
        <v/>
      </c>
      <c r="R6" s="52">
        <f>Расчёт!K6</f>
        <v/>
      </c>
      <c r="S6" s="52">
        <f>IF(R6="","",RANK(R6,$R$5:$R$14))</f>
        <v/>
      </c>
    </row>
    <row r="7" ht="15" customHeight="1" s="34">
      <c r="A7" s="42" t="inlineStr">
        <is>
          <t>Base</t>
        </is>
      </c>
      <c r="B7" s="43" t="inlineStr">
        <is>
          <t>L2</t>
        </is>
      </c>
      <c r="C7" s="46" t="n"/>
      <c r="D7" s="46" t="n"/>
      <c r="E7" s="44" t="n">
        <v>6361.888402</v>
      </c>
      <c r="F7" s="44" t="n">
        <v>4057.366831</v>
      </c>
      <c r="G7" s="44" t="n">
        <v>308996</v>
      </c>
      <c r="H7" s="44" t="n">
        <v>424000</v>
      </c>
      <c r="I7" s="45" t="n">
        <v>56.624755</v>
      </c>
      <c r="J7" s="46" t="n"/>
      <c r="K7" s="47" t="n"/>
      <c r="L7" s="48" t="n"/>
      <c r="M7" s="49">
        <f>IF(OR(E7="",F7="",F7=0),"",E7/F7-1)</f>
        <v/>
      </c>
      <c r="N7" s="49">
        <f>IF(OR(G7="",H7="",H7=0),"",G7/H7-1)</f>
        <v/>
      </c>
      <c r="O7" s="50">
        <f>IF(OR(C7="",E7="",E7=0),"",C7/E7)</f>
        <v/>
      </c>
      <c r="P7" s="51">
        <f>IF(OR(C7="",I7="",I7=0),"",C7/I7)</f>
        <v/>
      </c>
      <c r="Q7" s="50">
        <f>IF(OR(C7="",D7="",C7=0),"",D7/C7)</f>
        <v/>
      </c>
      <c r="R7" s="52">
        <f>Расчёт!K7</f>
        <v/>
      </c>
      <c r="S7" s="52">
        <f>IF(R7="","",RANK(R7,$R$5:$R$14))</f>
        <v/>
      </c>
    </row>
    <row r="8" ht="15" customHeight="1" s="34">
      <c r="A8" s="42" t="inlineStr">
        <is>
          <t>Mantle</t>
        </is>
      </c>
      <c r="B8" s="43" t="inlineStr">
        <is>
          <t>L2</t>
        </is>
      </c>
      <c r="C8" s="44" t="n">
        <v>2303.632024</v>
      </c>
      <c r="D8" s="44" t="n">
        <v>4338.503984</v>
      </c>
      <c r="E8" s="44" t="n">
        <v>105.989362</v>
      </c>
      <c r="F8" s="44" t="n">
        <v>653.480331</v>
      </c>
      <c r="G8" s="44" t="n">
        <v>1300</v>
      </c>
      <c r="H8" s="44" t="n">
        <v>1499</v>
      </c>
      <c r="I8" s="45" t="n">
        <v>0.252569</v>
      </c>
      <c r="J8" s="46" t="n"/>
      <c r="K8" s="47" t="n"/>
      <c r="L8" s="48" t="n"/>
      <c r="M8" s="49">
        <f>IF(OR(E8="",F8="",F8=0),"",E8/F8-1)</f>
        <v/>
      </c>
      <c r="N8" s="49">
        <f>IF(OR(G8="",H8="",H8=0),"",G8/H8-1)</f>
        <v/>
      </c>
      <c r="O8" s="50">
        <f>IF(OR(C8="",E8="",E8=0),"",C8/E8)</f>
        <v/>
      </c>
      <c r="P8" s="51">
        <f>IF(OR(C8="",I8="",I8=0),"",C8/I8)</f>
        <v/>
      </c>
      <c r="Q8" s="50">
        <f>IF(OR(C8="",D8="",C8=0),"",D8/C8)</f>
        <v/>
      </c>
      <c r="R8" s="52">
        <f>Расчёт!K8</f>
        <v/>
      </c>
      <c r="S8" s="52">
        <f>IF(R8="","",RANK(R8,$R$5:$R$14))</f>
        <v/>
      </c>
    </row>
    <row r="9" ht="15" customHeight="1" s="34">
      <c r="A9" s="42" t="inlineStr">
        <is>
          <t>Starknet</t>
        </is>
      </c>
      <c r="B9" s="43" t="inlineStr">
        <is>
          <t>L2</t>
        </is>
      </c>
      <c r="C9" s="44" t="n">
        <v>303.738166</v>
      </c>
      <c r="D9" s="44" t="n">
        <v>413.21516</v>
      </c>
      <c r="E9" s="44" t="n">
        <v>156.177773</v>
      </c>
      <c r="F9" s="44" t="n">
        <v>246.803376</v>
      </c>
      <c r="G9" s="53" t="n">
        <v>2613</v>
      </c>
      <c r="H9" s="53" t="n">
        <v>46550</v>
      </c>
      <c r="I9" s="45" t="n">
        <v>1.990909</v>
      </c>
      <c r="J9" s="46" t="n"/>
      <c r="K9" s="47" t="n"/>
      <c r="L9" s="48" t="n"/>
      <c r="M9" s="49">
        <f>IF(OR(E9="",F9="",F9=0),"",E9/F9-1)</f>
        <v/>
      </c>
      <c r="N9" s="49">
        <f>IF(OR(G9="",H9="",H9=0),"",G9/H9-1)</f>
        <v/>
      </c>
      <c r="O9" s="50">
        <f>IF(OR(C9="",E9="",E9=0),"",C9/E9)</f>
        <v/>
      </c>
      <c r="P9" s="51">
        <f>IF(OR(C9="",I9="",I9=0),"",C9/I9)</f>
        <v/>
      </c>
      <c r="Q9" s="50">
        <f>IF(OR(C9="",D9="",C9=0),"",D9/C9)</f>
        <v/>
      </c>
      <c r="R9" s="52">
        <f>Расчёт!K9</f>
        <v/>
      </c>
      <c r="S9" s="52">
        <f>IF(R9="","",RANK(R9,$R$5:$R$14))</f>
        <v/>
      </c>
    </row>
    <row r="10" ht="15" customHeight="1" s="34">
      <c r="A10" s="42" t="inlineStr">
        <is>
          <t>ZKsync</t>
        </is>
      </c>
      <c r="B10" s="43" t="inlineStr">
        <is>
          <t>L2</t>
        </is>
      </c>
      <c r="C10" s="44" t="n">
        <v>131.74708</v>
      </c>
      <c r="D10" s="44" t="n">
        <v>255.783171</v>
      </c>
      <c r="E10" s="44" t="n">
        <v>15.90072</v>
      </c>
      <c r="F10" s="44" t="n">
        <v>22.377373</v>
      </c>
      <c r="G10" s="44" t="n">
        <v>2701</v>
      </c>
      <c r="H10" s="44" t="n">
        <v>3387</v>
      </c>
      <c r="I10" s="45" t="n">
        <v>0.498537</v>
      </c>
      <c r="J10" s="46" t="n"/>
      <c r="K10" s="47" t="n"/>
      <c r="L10" s="48" t="n"/>
      <c r="M10" s="49">
        <f>IF(OR(E10="",F10="",F10=0),"",E10/F10-1)</f>
        <v/>
      </c>
      <c r="N10" s="49">
        <f>IF(OR(G10="",H10="",H10=0),"",G10/H10-1)</f>
        <v/>
      </c>
      <c r="O10" s="50">
        <f>IF(OR(C10="",E10="",E10=0),"",C10/E10)</f>
        <v/>
      </c>
      <c r="P10" s="51">
        <f>IF(OR(C10="",I10="",I10=0),"",C10/I10)</f>
        <v/>
      </c>
      <c r="Q10" s="50">
        <f>IF(OR(C10="",D10="",C10=0),"",D10/C10)</f>
        <v/>
      </c>
      <c r="R10" s="52">
        <f>Расчёт!K10</f>
        <v/>
      </c>
      <c r="S10" s="52">
        <f>IF(R10="","",RANK(R10,$R$5:$R$14))</f>
        <v/>
      </c>
    </row>
    <row r="11" ht="15" customHeight="1" s="34">
      <c r="A11" s="42" t="inlineStr">
        <is>
          <t>Linea</t>
        </is>
      </c>
      <c r="B11" s="43" t="inlineStr">
        <is>
          <t>L2</t>
        </is>
      </c>
      <c r="C11" s="44" t="n">
        <v>72.124611</v>
      </c>
      <c r="D11" s="44" t="n">
        <v>210.529409</v>
      </c>
      <c r="E11" s="44" t="n">
        <v>26.660603</v>
      </c>
      <c r="F11" s="44" t="n">
        <v>92.46676100000001</v>
      </c>
      <c r="G11" s="44" t="n">
        <v>3226</v>
      </c>
      <c r="H11" s="44" t="n">
        <v>5470</v>
      </c>
      <c r="I11" s="45" t="n">
        <v>1.347858</v>
      </c>
      <c r="J11" s="46" t="n"/>
      <c r="K11" s="47" t="n"/>
      <c r="L11" s="48" t="n"/>
      <c r="M11" s="49">
        <f>IF(OR(E11="",F11="",F11=0),"",E11/F11-1)</f>
        <v/>
      </c>
      <c r="N11" s="49">
        <f>IF(OR(G11="",H11="",H11=0),"",G11/H11-1)</f>
        <v/>
      </c>
      <c r="O11" s="50">
        <f>IF(OR(C11="",E11="",E11=0),"",C11/E11)</f>
        <v/>
      </c>
      <c r="P11" s="51">
        <f>IF(OR(C11="",I11="",I11=0),"",C11/I11)</f>
        <v/>
      </c>
      <c r="Q11" s="50">
        <f>IF(OR(C11="",D11="",C11=0),"",D11/C11)</f>
        <v/>
      </c>
      <c r="R11" s="52">
        <f>Расчёт!K11</f>
        <v/>
      </c>
      <c r="S11" s="52">
        <f>IF(R11="","",RANK(R11,$R$5:$R$14))</f>
        <v/>
      </c>
    </row>
    <row r="12" ht="15" customHeight="1" s="34">
      <c r="A12" s="42" t="inlineStr">
        <is>
          <t>Scroll</t>
        </is>
      </c>
      <c r="B12" s="43" t="inlineStr">
        <is>
          <t>L2</t>
        </is>
      </c>
      <c r="C12" s="44" t="n">
        <v>4.688116</v>
      </c>
      <c r="D12" s="44" t="n">
        <v>24.674296</v>
      </c>
      <c r="E12" s="53" t="n">
        <v>9.206047</v>
      </c>
      <c r="F12" s="44" t="n">
        <v>228.115291</v>
      </c>
      <c r="G12" s="44" t="n">
        <v>2640</v>
      </c>
      <c r="H12" s="44" t="n">
        <v>2662</v>
      </c>
      <c r="I12" s="45" t="n">
        <v>0.248046</v>
      </c>
      <c r="J12" s="46" t="n"/>
      <c r="K12" s="47" t="n"/>
      <c r="L12" s="48" t="n"/>
      <c r="M12" s="49">
        <f>IF(OR(E12="",F12="",F12=0),"",E12/F12-1)</f>
        <v/>
      </c>
      <c r="N12" s="49">
        <f>IF(OR(G12="",H12="",H12=0),"",G12/H12-1)</f>
        <v/>
      </c>
      <c r="O12" s="50">
        <f>IF(OR(C12="",E12="",E12=0),"",C12/E12)</f>
        <v/>
      </c>
      <c r="P12" s="51">
        <f>IF(OR(C12="",I12="",I12=0),"",C12/I12)</f>
        <v/>
      </c>
      <c r="Q12" s="50">
        <f>IF(OR(C12="",D12="",C12=0),"",D12/C12)</f>
        <v/>
      </c>
      <c r="R12" s="52">
        <f>Расчёт!K12</f>
        <v/>
      </c>
      <c r="S12" s="52">
        <f>IF(R12="","",RANK(R12,$R$5:$R$14))</f>
        <v/>
      </c>
    </row>
    <row r="13" ht="15" customHeight="1" s="34">
      <c r="A13" s="42" t="n"/>
      <c r="B13" s="43" t="n"/>
      <c r="C13" s="46" t="n"/>
      <c r="D13" s="46" t="n"/>
      <c r="E13" s="46" t="n"/>
      <c r="F13" s="46" t="n"/>
      <c r="G13" s="46" t="n"/>
      <c r="H13" s="46" t="n"/>
      <c r="I13" s="54" t="n"/>
      <c r="J13" s="46" t="n"/>
      <c r="K13" s="47" t="n"/>
      <c r="L13" s="48" t="n"/>
      <c r="M13" s="49">
        <f>IF(OR(E13="",F13="",F13=0),"",E13/F13-1)</f>
        <v/>
      </c>
      <c r="N13" s="49">
        <f>IF(OR(G13="",H13="",H13=0),"",G13/H13-1)</f>
        <v/>
      </c>
      <c r="O13" s="50">
        <f>IF(OR(C13="",E13="",E13=0),"",C13/E13)</f>
        <v/>
      </c>
      <c r="P13" s="51">
        <f>IF(OR(C13="",I13="",I13=0),"",C13/I13)</f>
        <v/>
      </c>
      <c r="Q13" s="50">
        <f>IF(OR(C13="",D13="",C13=0),"",D13/C13)</f>
        <v/>
      </c>
      <c r="R13" s="52">
        <f>Расчёт!K13</f>
        <v/>
      </c>
      <c r="S13" s="52">
        <f>IF(R13="","",RANK(R13,$R$5:$R$14))</f>
        <v/>
      </c>
    </row>
    <row r="14" ht="15" customHeight="1" s="34">
      <c r="A14" s="42" t="n"/>
      <c r="B14" s="43" t="n"/>
      <c r="C14" s="46" t="n"/>
      <c r="D14" s="46" t="n"/>
      <c r="E14" s="46" t="n"/>
      <c r="F14" s="46" t="n"/>
      <c r="G14" s="46" t="n"/>
      <c r="H14" s="46" t="n"/>
      <c r="I14" s="54" t="n"/>
      <c r="J14" s="46" t="n"/>
      <c r="K14" s="47" t="n"/>
      <c r="L14" s="48" t="n"/>
      <c r="M14" s="49">
        <f>IF(OR(E14="",F14="",F14=0),"",E14/F14-1)</f>
        <v/>
      </c>
      <c r="N14" s="49">
        <f>IF(OR(G14="",H14="",H14=0),"",G14/H14-1)</f>
        <v/>
      </c>
      <c r="O14" s="50">
        <f>IF(OR(C14="",E14="",E14=0),"",C14/E14)</f>
        <v/>
      </c>
      <c r="P14" s="51">
        <f>IF(OR(C14="",I14="",I14=0),"",C14/I14)</f>
        <v/>
      </c>
      <c r="Q14" s="50">
        <f>IF(OR(C14="",D14="",C14=0),"",D14/C14)</f>
        <v/>
      </c>
      <c r="R14" s="52">
        <f>Расчёт!K14</f>
        <v/>
      </c>
      <c r="S14" s="52">
        <f>IF(R14="","",RANK(R14,$R$5:$R$14))</f>
        <v/>
      </c>
    </row>
    <row r="15" ht="15" customHeight="1" s="3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</row>
    <row r="16" ht="15" customHeight="1" s="34">
      <c r="A16" s="55" t="inlineStr">
        <is>
          <t>Легенда: зелёный — лучше среди сравниваемых, красный — хуже. Для Mcap/TVL, Mcap/Доход и FDV/Mcap меньше = лучше. Лидер по баллу подсвечен зелёным.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</row>
    <row r="17" ht="15" customHeight="1" s="34">
      <c r="A17" s="56" t="inlineStr">
        <is>
          <t>Балл относительный: показывает, кто сильнее внутри твоей выборки, а не «покупать/не покупать». Сравнивай сети одной категории.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</row>
  </sheetData>
  <conditionalFormatting sqref="M5:M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rank="0" priority="3" equalAverage="0" aboveAverage="0" dxfId="0" text="" percent="0" bottom="0">
      <formula>AND(ISNUMBER(M5),M5&lt;0)</formula>
    </cfRule>
  </conditionalFormatting>
  <conditionalFormatting sqref="N5:N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rank="0" priority="5" equalAverage="0" aboveAverage="0" dxfId="0" text="" percent="0" bottom="0">
      <formula>AND(ISNUMBER(N5),N5&lt;0)</formula>
    </cfRule>
  </conditionalFormatting>
  <conditionalFormatting sqref="R5:R1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14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5:P14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5:Q14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14">
    <cfRule type="expression" rank="0" priority="10" equalAverage="0" aboveAverage="0" dxfId="1" text="" percent="0" bottom="0">
      <formula>AND($S5&lt;&gt;"",$S5=1)</formula>
    </cfRule>
  </conditionalFormatting>
  <conditionalFormatting sqref="A5:A14">
    <cfRule type="expression" rank="0" priority="11" equalAverage="0" aboveAverage="0" dxfId="1" text="" percent="0" bottom="0">
      <formula>AND($S5&lt;&gt;"",$S5=1)</formula>
    </cfRule>
  </conditionalFormatting>
  <conditionalFormatting sqref="K5:K14">
    <cfRule type="expression" rank="0" priority="12" equalAverage="0" aboveAverage="0" dxfId="2" text="" percent="0" bottom="0">
      <formula>AND(ISNUMBER($K5),$K5&gt;=0.1)</formula>
    </cfRule>
  </conditionalFormatting>
  <dataValidations count="2">
    <dataValidation sqref="L5:L14" showDropDown="0" showInputMessage="0" showErrorMessage="1" allowBlank="0" errorTitle="Оценка 1–5" error="Введи число от 1 до 5" type="whole" errorStyle="stop" operator="between">
      <formula1>1</formula1>
      <formula2>5</formula2>
    </dataValidation>
    <dataValidation sqref="B5:B14" showDropDown="0" showInputMessage="0" showErrorMessage="0" allowBlank="1" type="list" errorStyle="stop" operator="between">
      <formula1>"L1,L2,DeFi,AI,Gaming,RWA,Другое"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14" customWidth="1" style="33" min="2" max="11"/>
  </cols>
  <sheetData>
    <row r="1" ht="15" customHeight="1" s="34">
      <c r="A1" s="57" t="inlineStr">
        <is>
          <t>Служебный лист: нормированные оценки 0–1 по каждой метрике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</row>
    <row r="2" ht="15" customHeight="1" s="34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inlineStr">
        <is>
          <t>Взвешенные оценки</t>
        </is>
      </c>
      <c r="M3" s="36" t="n"/>
      <c r="N3" s="36" t="n"/>
      <c r="O3" s="36" t="n"/>
      <c r="P3" s="36" t="n"/>
      <c r="Q3" s="36" t="n"/>
      <c r="R3" s="36" t="n"/>
      <c r="S3" s="36" t="n"/>
      <c r="T3" s="36" t="inlineStr">
        <is>
          <t>Учтённые веса</t>
        </is>
      </c>
      <c r="U3" s="36" t="n"/>
      <c r="V3" s="36" t="n"/>
      <c r="W3" s="36" t="n"/>
      <c r="X3" s="36" t="n"/>
      <c r="Y3" s="36" t="n"/>
      <c r="Z3" s="36" t="n"/>
      <c r="AA3" s="36" t="n"/>
    </row>
    <row r="4" ht="15" customHeight="1" s="34">
      <c r="A4" s="57" t="inlineStr">
        <is>
          <t>Экосистема</t>
        </is>
      </c>
      <c r="B4" s="57" t="inlineStr">
        <is>
          <t>Рост TVL 6м</t>
        </is>
      </c>
      <c r="C4" s="57" t="inlineStr">
        <is>
          <t>Рост адресов 6м</t>
        </is>
      </c>
      <c r="D4" s="57" t="inlineStr">
        <is>
          <t>Mcap / TVL</t>
        </is>
      </c>
      <c r="E4" s="57" t="inlineStr">
        <is>
          <t>Mcap / Доход</t>
        </is>
      </c>
      <c r="F4" s="57" t="inlineStr">
        <is>
          <t>Активных разработчиков</t>
        </is>
      </c>
      <c r="G4" s="57" t="inlineStr">
        <is>
          <t>Разлок за 6 мес</t>
        </is>
      </c>
      <c r="H4" s="57" t="inlineStr">
        <is>
          <t>FDV / Mcap</t>
        </is>
      </c>
      <c r="I4" s="57" t="inlineStr">
        <is>
          <t>Инвесторы и команда</t>
        </is>
      </c>
      <c r="J4" s="57" t="n"/>
      <c r="K4" s="57" t="inlineStr">
        <is>
          <t>Итог 0–100</t>
        </is>
      </c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36" t="n"/>
      <c r="V4" s="36" t="n"/>
      <c r="W4" s="36" t="n"/>
      <c r="X4" s="36" t="n"/>
      <c r="Y4" s="36" t="n"/>
      <c r="Z4" s="36" t="n"/>
      <c r="AA4" s="36" t="n"/>
    </row>
    <row r="5" ht="15" customHeight="1" s="34">
      <c r="A5" s="36">
        <f>IF(Сравнение!A5="","",Сравнение!A5)</f>
        <v/>
      </c>
      <c r="B5" s="58">
        <f>IF(OR(NOT(ISNUMBER(Сравнение!M5)),COUNT(Сравнение!$M$5:$M$14)&lt;2),"",IF(MAX(Сравнение!$M$5:$M$14)=MIN(Сравнение!$M$5:$M$14),0.5,(Сравнение!M5-MIN(Сравнение!$M$5:$M$14))/(MAX(Сравнение!$M$5:$M$14)-MIN(Сравнение!$M$5:$M$14))))</f>
        <v/>
      </c>
      <c r="C5" s="58">
        <f>IF(OR(NOT(ISNUMBER(Сравнение!N5)),COUNT(Сравнение!$N$5:$N$14)&lt;2),"",IF(MAX(Сравнение!$N$5:$N$14)=MIN(Сравнение!$N$5:$N$14),0.5,(Сравнение!N5-MIN(Сравнение!$N$5:$N$14))/(MAX(Сравнение!$N$5:$N$14)-MIN(Сравнение!$N$5:$N$14))))</f>
        <v/>
      </c>
      <c r="D5" s="58">
        <f>IF(OR(NOT(ISNUMBER(Сравнение!O5)),COUNT(Сравнение!$O$5:$O$14)&lt;2),"",IF(MAX(Сравнение!$O$5:$O$14)=MIN(Сравнение!$O$5:$O$14),0.5,(MAX(Сравнение!$O$5:$O$14)-Сравнение!O5)/(MAX(Сравнение!$O$5:$O$14)-MIN(Сравнение!$O$5:$O$14))))</f>
        <v/>
      </c>
      <c r="E5" s="58">
        <f>IF(OR(NOT(ISNUMBER(Сравнение!P5)),COUNT(Сравнение!$P$5:$P$14)&lt;2),"",IF(MAX(Сравнение!$P$5:$P$14)=MIN(Сравнение!$P$5:$P$14),0.5,(MAX(Сравнение!$P$5:$P$14)-Сравнение!P5)/(MAX(Сравнение!$P$5:$P$14)-MIN(Сравнение!$P$5:$P$14))))</f>
        <v/>
      </c>
      <c r="F5" s="58">
        <f>IF(OR(NOT(ISNUMBER(Сравнение!J5)),COUNT(Сравнение!$J$5:$J$14)&lt;2),"",IF(MAX(Сравнение!$J$5:$J$14)=MIN(Сравнение!$J$5:$J$14),0.5,(Сравнение!J5-MIN(Сравнение!$J$5:$J$14))/(MAX(Сравнение!$J$5:$J$14)-MIN(Сравнение!$J$5:$J$14))))</f>
        <v/>
      </c>
      <c r="G5" s="58">
        <f>IF(OR(NOT(ISNUMBER(Сравнение!K5)),COUNT(Сравнение!$K$5:$K$14)&lt;2),"",IF(MAX(Сравнение!$K$5:$K$14)=MIN(Сравнение!$K$5:$K$14),0.5,(MAX(Сравнение!$K$5:$K$14)-Сравнение!K5)/(MAX(Сравнение!$K$5:$K$14)-MIN(Сравнение!$K$5:$K$14))))</f>
        <v/>
      </c>
      <c r="H5" s="58">
        <f>IF(OR(NOT(ISNUMBER(Сравнение!Q5)),COUNT(Сравнение!$Q$5:$Q$14)&lt;2),"",IF(MAX(Сравнение!$Q$5:$Q$14)=MIN(Сравнение!$Q$5:$Q$14),0.5,(MAX(Сравнение!$Q$5:$Q$14)-Сравнение!Q5)/(MAX(Сравнение!$Q$5:$Q$14)-MIN(Сравнение!$Q$5:$Q$14))))</f>
        <v/>
      </c>
      <c r="I5" s="58">
        <f>IF(OR(NOT(ISNUMBER(Сравнение!L5)),COUNT(Сравнение!$L$5:$L$14)&lt;2),"",IF(MAX(Сравнение!$L$5:$L$14)=MIN(Сравнение!$L$5:$L$14),0.5,(Сравнение!L5-MIN(Сравнение!$L$5:$L$14))/(MAX(Сравнение!$L$5:$L$14)-MIN(Сравнение!$L$5:$L$14))))</f>
        <v/>
      </c>
      <c r="J5" s="36" t="n"/>
      <c r="K5" s="59">
        <f>IF(OR(Сравнение!A5="",SUM(T5:AA5)=0),"",100*SUM(L5:S5)/SUM(T5:AA5))</f>
        <v/>
      </c>
      <c r="L5" s="36">
        <f>IF(ISNUMBER(B5),B5*Веса!$B$4,0)</f>
        <v/>
      </c>
      <c r="M5" s="36">
        <f>IF(ISNUMBER(C5),C5*Веса!$B$5,0)</f>
        <v/>
      </c>
      <c r="N5" s="36">
        <f>IF(ISNUMBER(D5),D5*Веса!$B$6,0)</f>
        <v/>
      </c>
      <c r="O5" s="36">
        <f>IF(ISNUMBER(E5),E5*Веса!$B$7,0)</f>
        <v/>
      </c>
      <c r="P5" s="36">
        <f>IF(ISNUMBER(F5),F5*Веса!$B$8,0)</f>
        <v/>
      </c>
      <c r="Q5" s="36">
        <f>IF(ISNUMBER(G5),G5*Веса!$B$9,0)</f>
        <v/>
      </c>
      <c r="R5" s="36">
        <f>IF(ISNUMBER(H5),H5*Веса!$B$10,0)</f>
        <v/>
      </c>
      <c r="S5" s="36">
        <f>IF(ISNUMBER(I5),I5*Веса!$B$11,0)</f>
        <v/>
      </c>
      <c r="T5" s="36">
        <f>IF(ISNUMBER(B5),Веса!$B$4,0)</f>
        <v/>
      </c>
      <c r="U5" s="36">
        <f>IF(ISNUMBER(C5),Веса!$B$5,0)</f>
        <v/>
      </c>
      <c r="V5" s="36">
        <f>IF(ISNUMBER(D5),Веса!$B$6,0)</f>
        <v/>
      </c>
      <c r="W5" s="36">
        <f>IF(ISNUMBER(E5),Веса!$B$7,0)</f>
        <v/>
      </c>
      <c r="X5" s="36">
        <f>IF(ISNUMBER(F5),Веса!$B$8,0)</f>
        <v/>
      </c>
      <c r="Y5" s="36">
        <f>IF(ISNUMBER(G5),Веса!$B$9,0)</f>
        <v/>
      </c>
      <c r="Z5" s="36">
        <f>IF(ISNUMBER(H5),Веса!$B$10,0)</f>
        <v/>
      </c>
      <c r="AA5" s="36">
        <f>IF(ISNUMBER(I5),Веса!$B$11,0)</f>
        <v/>
      </c>
    </row>
    <row r="6" ht="15" customHeight="1" s="34">
      <c r="A6" s="36">
        <f>IF(Сравнение!A6="","",Сравнение!A6)</f>
        <v/>
      </c>
      <c r="B6" s="58">
        <f>IF(OR(NOT(ISNUMBER(Сравнение!M6)),COUNT(Сравнение!$M$5:$M$14)&lt;2),"",IF(MAX(Сравнение!$M$5:$M$14)=MIN(Сравнение!$M$5:$M$14),0.5,(Сравнение!M6-MIN(Сравнение!$M$5:$M$14))/(MAX(Сравнение!$M$5:$M$14)-MIN(Сравнение!$M$5:$M$14))))</f>
        <v/>
      </c>
      <c r="C6" s="58">
        <f>IF(OR(NOT(ISNUMBER(Сравнение!N6)),COUNT(Сравнение!$N$5:$N$14)&lt;2),"",IF(MAX(Сравнение!$N$5:$N$14)=MIN(Сравнение!$N$5:$N$14),0.5,(Сравнение!N6-MIN(Сравнение!$N$5:$N$14))/(MAX(Сравнение!$N$5:$N$14)-MIN(Сравнение!$N$5:$N$14))))</f>
        <v/>
      </c>
      <c r="D6" s="58">
        <f>IF(OR(NOT(ISNUMBER(Сравнение!O6)),COUNT(Сравнение!$O$5:$O$14)&lt;2),"",IF(MAX(Сравнение!$O$5:$O$14)=MIN(Сравнение!$O$5:$O$14),0.5,(MAX(Сравнение!$O$5:$O$14)-Сравнение!O6)/(MAX(Сравнение!$O$5:$O$14)-MIN(Сравнение!$O$5:$O$14))))</f>
        <v/>
      </c>
      <c r="E6" s="58">
        <f>IF(OR(NOT(ISNUMBER(Сравнение!P6)),COUNT(Сравнение!$P$5:$P$14)&lt;2),"",IF(MAX(Сравнение!$P$5:$P$14)=MIN(Сравнение!$P$5:$P$14),0.5,(MAX(Сравнение!$P$5:$P$14)-Сравнение!P6)/(MAX(Сравнение!$P$5:$P$14)-MIN(Сравнение!$P$5:$P$14))))</f>
        <v/>
      </c>
      <c r="F6" s="58">
        <f>IF(OR(NOT(ISNUMBER(Сравнение!J6)),COUNT(Сравнение!$J$5:$J$14)&lt;2),"",IF(MAX(Сравнение!$J$5:$J$14)=MIN(Сравнение!$J$5:$J$14),0.5,(Сравнение!J6-MIN(Сравнение!$J$5:$J$14))/(MAX(Сравнение!$J$5:$J$14)-MIN(Сравнение!$J$5:$J$14))))</f>
        <v/>
      </c>
      <c r="G6" s="58">
        <f>IF(OR(NOT(ISNUMBER(Сравнение!K6)),COUNT(Сравнение!$K$5:$K$14)&lt;2),"",IF(MAX(Сравнение!$K$5:$K$14)=MIN(Сравнение!$K$5:$K$14),0.5,(MAX(Сравнение!$K$5:$K$14)-Сравнение!K6)/(MAX(Сравнение!$K$5:$K$14)-MIN(Сравнение!$K$5:$K$14))))</f>
        <v/>
      </c>
      <c r="H6" s="58">
        <f>IF(OR(NOT(ISNUMBER(Сравнение!Q6)),COUNT(Сравнение!$Q$5:$Q$14)&lt;2),"",IF(MAX(Сравнение!$Q$5:$Q$14)=MIN(Сравнение!$Q$5:$Q$14),0.5,(MAX(Сравнение!$Q$5:$Q$14)-Сравнение!Q6)/(MAX(Сравнение!$Q$5:$Q$14)-MIN(Сравнение!$Q$5:$Q$14))))</f>
        <v/>
      </c>
      <c r="I6" s="58">
        <f>IF(OR(NOT(ISNUMBER(Сравнение!L6)),COUNT(Сравнение!$L$5:$L$14)&lt;2),"",IF(MAX(Сравнение!$L$5:$L$14)=MIN(Сравнение!$L$5:$L$14),0.5,(Сравнение!L6-MIN(Сравнение!$L$5:$L$14))/(MAX(Сравнение!$L$5:$L$14)-MIN(Сравнение!$L$5:$L$14))))</f>
        <v/>
      </c>
      <c r="J6" s="36" t="n"/>
      <c r="K6" s="59">
        <f>IF(OR(Сравнение!A6="",SUM(T6:AA6)=0),"",100*SUM(L6:S6)/SUM(T6:AA6))</f>
        <v/>
      </c>
      <c r="L6" s="36">
        <f>IF(ISNUMBER(B6),B6*Веса!$B$4,0)</f>
        <v/>
      </c>
      <c r="M6" s="36">
        <f>IF(ISNUMBER(C6),C6*Веса!$B$5,0)</f>
        <v/>
      </c>
      <c r="N6" s="36">
        <f>IF(ISNUMBER(D6),D6*Веса!$B$6,0)</f>
        <v/>
      </c>
      <c r="O6" s="36">
        <f>IF(ISNUMBER(E6),E6*Веса!$B$7,0)</f>
        <v/>
      </c>
      <c r="P6" s="36">
        <f>IF(ISNUMBER(F6),F6*Веса!$B$8,0)</f>
        <v/>
      </c>
      <c r="Q6" s="36">
        <f>IF(ISNUMBER(G6),G6*Веса!$B$9,0)</f>
        <v/>
      </c>
      <c r="R6" s="36">
        <f>IF(ISNUMBER(H6),H6*Веса!$B$10,0)</f>
        <v/>
      </c>
      <c r="S6" s="36">
        <f>IF(ISNUMBER(I6),I6*Веса!$B$11,0)</f>
        <v/>
      </c>
      <c r="T6" s="36">
        <f>IF(ISNUMBER(B6),Веса!$B$4,0)</f>
        <v/>
      </c>
      <c r="U6" s="36">
        <f>IF(ISNUMBER(C6),Веса!$B$5,0)</f>
        <v/>
      </c>
      <c r="V6" s="36">
        <f>IF(ISNUMBER(D6),Веса!$B$6,0)</f>
        <v/>
      </c>
      <c r="W6" s="36">
        <f>IF(ISNUMBER(E6),Веса!$B$7,0)</f>
        <v/>
      </c>
      <c r="X6" s="36">
        <f>IF(ISNUMBER(F6),Веса!$B$8,0)</f>
        <v/>
      </c>
      <c r="Y6" s="36">
        <f>IF(ISNUMBER(G6),Веса!$B$9,0)</f>
        <v/>
      </c>
      <c r="Z6" s="36">
        <f>IF(ISNUMBER(H6),Веса!$B$10,0)</f>
        <v/>
      </c>
      <c r="AA6" s="36">
        <f>IF(ISNUMBER(I6),Веса!$B$11,0)</f>
        <v/>
      </c>
    </row>
    <row r="7" ht="15" customHeight="1" s="34">
      <c r="A7" s="36">
        <f>IF(Сравнение!A7="","",Сравнение!A7)</f>
        <v/>
      </c>
      <c r="B7" s="58">
        <f>IF(OR(NOT(ISNUMBER(Сравнение!M7)),COUNT(Сравнение!$M$5:$M$14)&lt;2),"",IF(MAX(Сравнение!$M$5:$M$14)=MIN(Сравнение!$M$5:$M$14),0.5,(Сравнение!M7-MIN(Сравнение!$M$5:$M$14))/(MAX(Сравнение!$M$5:$M$14)-MIN(Сравнение!$M$5:$M$14))))</f>
        <v/>
      </c>
      <c r="C7" s="58">
        <f>IF(OR(NOT(ISNUMBER(Сравнение!N7)),COUNT(Сравнение!$N$5:$N$14)&lt;2),"",IF(MAX(Сравнение!$N$5:$N$14)=MIN(Сравнение!$N$5:$N$14),0.5,(Сравнение!N7-MIN(Сравнение!$N$5:$N$14))/(MAX(Сравнение!$N$5:$N$14)-MIN(Сравнение!$N$5:$N$14))))</f>
        <v/>
      </c>
      <c r="D7" s="58">
        <f>IF(OR(NOT(ISNUMBER(Сравнение!O7)),COUNT(Сравнение!$O$5:$O$14)&lt;2),"",IF(MAX(Сравнение!$O$5:$O$14)=MIN(Сравнение!$O$5:$O$14),0.5,(MAX(Сравнение!$O$5:$O$14)-Сравнение!O7)/(MAX(Сравнение!$O$5:$O$14)-MIN(Сравнение!$O$5:$O$14))))</f>
        <v/>
      </c>
      <c r="E7" s="58">
        <f>IF(OR(NOT(ISNUMBER(Сравнение!P7)),COUNT(Сравнение!$P$5:$P$14)&lt;2),"",IF(MAX(Сравнение!$P$5:$P$14)=MIN(Сравнение!$P$5:$P$14),0.5,(MAX(Сравнение!$P$5:$P$14)-Сравнение!P7)/(MAX(Сравнение!$P$5:$P$14)-MIN(Сравнение!$P$5:$P$14))))</f>
        <v/>
      </c>
      <c r="F7" s="58">
        <f>IF(OR(NOT(ISNUMBER(Сравнение!J7)),COUNT(Сравнение!$J$5:$J$14)&lt;2),"",IF(MAX(Сравнение!$J$5:$J$14)=MIN(Сравнение!$J$5:$J$14),0.5,(Сравнение!J7-MIN(Сравнение!$J$5:$J$14))/(MAX(Сравнение!$J$5:$J$14)-MIN(Сравнение!$J$5:$J$14))))</f>
        <v/>
      </c>
      <c r="G7" s="58">
        <f>IF(OR(NOT(ISNUMBER(Сравнение!K7)),COUNT(Сравнение!$K$5:$K$14)&lt;2),"",IF(MAX(Сравнение!$K$5:$K$14)=MIN(Сравнение!$K$5:$K$14),0.5,(MAX(Сравнение!$K$5:$K$14)-Сравнение!K7)/(MAX(Сравнение!$K$5:$K$14)-MIN(Сравнение!$K$5:$K$14))))</f>
        <v/>
      </c>
      <c r="H7" s="58">
        <f>IF(OR(NOT(ISNUMBER(Сравнение!Q7)),COUNT(Сравнение!$Q$5:$Q$14)&lt;2),"",IF(MAX(Сравнение!$Q$5:$Q$14)=MIN(Сравнение!$Q$5:$Q$14),0.5,(MAX(Сравнение!$Q$5:$Q$14)-Сравнение!Q7)/(MAX(Сравнение!$Q$5:$Q$14)-MIN(Сравнение!$Q$5:$Q$14))))</f>
        <v/>
      </c>
      <c r="I7" s="58">
        <f>IF(OR(NOT(ISNUMBER(Сравнение!L7)),COUNT(Сравнение!$L$5:$L$14)&lt;2),"",IF(MAX(Сравнение!$L$5:$L$14)=MIN(Сравнение!$L$5:$L$14),0.5,(Сравнение!L7-MIN(Сравнение!$L$5:$L$14))/(MAX(Сравнение!$L$5:$L$14)-MIN(Сравнение!$L$5:$L$14))))</f>
        <v/>
      </c>
      <c r="J7" s="36" t="n"/>
      <c r="K7" s="59">
        <f>IF(OR(Сравнение!A7="",SUM(T7:AA7)=0),"",100*SUM(L7:S7)/SUM(T7:AA7))</f>
        <v/>
      </c>
      <c r="L7" s="36">
        <f>IF(ISNUMBER(B7),B7*Веса!$B$4,0)</f>
        <v/>
      </c>
      <c r="M7" s="36">
        <f>IF(ISNUMBER(C7),C7*Веса!$B$5,0)</f>
        <v/>
      </c>
      <c r="N7" s="36">
        <f>IF(ISNUMBER(D7),D7*Веса!$B$6,0)</f>
        <v/>
      </c>
      <c r="O7" s="36">
        <f>IF(ISNUMBER(E7),E7*Веса!$B$7,0)</f>
        <v/>
      </c>
      <c r="P7" s="36">
        <f>IF(ISNUMBER(F7),F7*Веса!$B$8,0)</f>
        <v/>
      </c>
      <c r="Q7" s="36">
        <f>IF(ISNUMBER(G7),G7*Веса!$B$9,0)</f>
        <v/>
      </c>
      <c r="R7" s="36">
        <f>IF(ISNUMBER(H7),H7*Веса!$B$10,0)</f>
        <v/>
      </c>
      <c r="S7" s="36">
        <f>IF(ISNUMBER(I7),I7*Веса!$B$11,0)</f>
        <v/>
      </c>
      <c r="T7" s="36">
        <f>IF(ISNUMBER(B7),Веса!$B$4,0)</f>
        <v/>
      </c>
      <c r="U7" s="36">
        <f>IF(ISNUMBER(C7),Веса!$B$5,0)</f>
        <v/>
      </c>
      <c r="V7" s="36">
        <f>IF(ISNUMBER(D7),Веса!$B$6,0)</f>
        <v/>
      </c>
      <c r="W7" s="36">
        <f>IF(ISNUMBER(E7),Веса!$B$7,0)</f>
        <v/>
      </c>
      <c r="X7" s="36">
        <f>IF(ISNUMBER(F7),Веса!$B$8,0)</f>
        <v/>
      </c>
      <c r="Y7" s="36">
        <f>IF(ISNUMBER(G7),Веса!$B$9,0)</f>
        <v/>
      </c>
      <c r="Z7" s="36">
        <f>IF(ISNUMBER(H7),Веса!$B$10,0)</f>
        <v/>
      </c>
      <c r="AA7" s="36">
        <f>IF(ISNUMBER(I7),Веса!$B$11,0)</f>
        <v/>
      </c>
    </row>
    <row r="8" ht="15" customHeight="1" s="34">
      <c r="A8" s="36">
        <f>IF(Сравнение!A8="","",Сравнение!A8)</f>
        <v/>
      </c>
      <c r="B8" s="58">
        <f>IF(OR(NOT(ISNUMBER(Сравнение!M8)),COUNT(Сравнение!$M$5:$M$14)&lt;2),"",IF(MAX(Сравнение!$M$5:$M$14)=MIN(Сравнение!$M$5:$M$14),0.5,(Сравнение!M8-MIN(Сравнение!$M$5:$M$14))/(MAX(Сравнение!$M$5:$M$14)-MIN(Сравнение!$M$5:$M$14))))</f>
        <v/>
      </c>
      <c r="C8" s="58">
        <f>IF(OR(NOT(ISNUMBER(Сравнение!N8)),COUNT(Сравнение!$N$5:$N$14)&lt;2),"",IF(MAX(Сравнение!$N$5:$N$14)=MIN(Сравнение!$N$5:$N$14),0.5,(Сравнение!N8-MIN(Сравнение!$N$5:$N$14))/(MAX(Сравнение!$N$5:$N$14)-MIN(Сравнение!$N$5:$N$14))))</f>
        <v/>
      </c>
      <c r="D8" s="58">
        <f>IF(OR(NOT(ISNUMBER(Сравнение!O8)),COUNT(Сравнение!$O$5:$O$14)&lt;2),"",IF(MAX(Сравнение!$O$5:$O$14)=MIN(Сравнение!$O$5:$O$14),0.5,(MAX(Сравнение!$O$5:$O$14)-Сравнение!O8)/(MAX(Сравнение!$O$5:$O$14)-MIN(Сравнение!$O$5:$O$14))))</f>
        <v/>
      </c>
      <c r="E8" s="58">
        <f>IF(OR(NOT(ISNUMBER(Сравнение!P8)),COUNT(Сравнение!$P$5:$P$14)&lt;2),"",IF(MAX(Сравнение!$P$5:$P$14)=MIN(Сравнение!$P$5:$P$14),0.5,(MAX(Сравнение!$P$5:$P$14)-Сравнение!P8)/(MAX(Сравнение!$P$5:$P$14)-MIN(Сравнение!$P$5:$P$14))))</f>
        <v/>
      </c>
      <c r="F8" s="58">
        <f>IF(OR(NOT(ISNUMBER(Сравнение!J8)),COUNT(Сравнение!$J$5:$J$14)&lt;2),"",IF(MAX(Сравнение!$J$5:$J$14)=MIN(Сравнение!$J$5:$J$14),0.5,(Сравнение!J8-MIN(Сравнение!$J$5:$J$14))/(MAX(Сравнение!$J$5:$J$14)-MIN(Сравнение!$J$5:$J$14))))</f>
        <v/>
      </c>
      <c r="G8" s="58">
        <f>IF(OR(NOT(ISNUMBER(Сравнение!K8)),COUNT(Сравнение!$K$5:$K$14)&lt;2),"",IF(MAX(Сравнение!$K$5:$K$14)=MIN(Сравнение!$K$5:$K$14),0.5,(MAX(Сравнение!$K$5:$K$14)-Сравнение!K8)/(MAX(Сравнение!$K$5:$K$14)-MIN(Сравнение!$K$5:$K$14))))</f>
        <v/>
      </c>
      <c r="H8" s="58">
        <f>IF(OR(NOT(ISNUMBER(Сравнение!Q8)),COUNT(Сравнение!$Q$5:$Q$14)&lt;2),"",IF(MAX(Сравнение!$Q$5:$Q$14)=MIN(Сравнение!$Q$5:$Q$14),0.5,(MAX(Сравнение!$Q$5:$Q$14)-Сравнение!Q8)/(MAX(Сравнение!$Q$5:$Q$14)-MIN(Сравнение!$Q$5:$Q$14))))</f>
        <v/>
      </c>
      <c r="I8" s="58">
        <f>IF(OR(NOT(ISNUMBER(Сравнение!L8)),COUNT(Сравнение!$L$5:$L$14)&lt;2),"",IF(MAX(Сравнение!$L$5:$L$14)=MIN(Сравнение!$L$5:$L$14),0.5,(Сравнение!L8-MIN(Сравнение!$L$5:$L$14))/(MAX(Сравнение!$L$5:$L$14)-MIN(Сравнение!$L$5:$L$14))))</f>
        <v/>
      </c>
      <c r="J8" s="36" t="n"/>
      <c r="K8" s="59">
        <f>IF(OR(Сравнение!A8="",SUM(T8:AA8)=0),"",100*SUM(L8:S8)/SUM(T8:AA8))</f>
        <v/>
      </c>
      <c r="L8" s="36">
        <f>IF(ISNUMBER(B8),B8*Веса!$B$4,0)</f>
        <v/>
      </c>
      <c r="M8" s="36">
        <f>IF(ISNUMBER(C8),C8*Веса!$B$5,0)</f>
        <v/>
      </c>
      <c r="N8" s="36">
        <f>IF(ISNUMBER(D8),D8*Веса!$B$6,0)</f>
        <v/>
      </c>
      <c r="O8" s="36">
        <f>IF(ISNUMBER(E8),E8*Веса!$B$7,0)</f>
        <v/>
      </c>
      <c r="P8" s="36">
        <f>IF(ISNUMBER(F8),F8*Веса!$B$8,0)</f>
        <v/>
      </c>
      <c r="Q8" s="36">
        <f>IF(ISNUMBER(G8),G8*Веса!$B$9,0)</f>
        <v/>
      </c>
      <c r="R8" s="36">
        <f>IF(ISNUMBER(H8),H8*Веса!$B$10,0)</f>
        <v/>
      </c>
      <c r="S8" s="36">
        <f>IF(ISNUMBER(I8),I8*Веса!$B$11,0)</f>
        <v/>
      </c>
      <c r="T8" s="36">
        <f>IF(ISNUMBER(B8),Веса!$B$4,0)</f>
        <v/>
      </c>
      <c r="U8" s="36">
        <f>IF(ISNUMBER(C8),Веса!$B$5,0)</f>
        <v/>
      </c>
      <c r="V8" s="36">
        <f>IF(ISNUMBER(D8),Веса!$B$6,0)</f>
        <v/>
      </c>
      <c r="W8" s="36">
        <f>IF(ISNUMBER(E8),Веса!$B$7,0)</f>
        <v/>
      </c>
      <c r="X8" s="36">
        <f>IF(ISNUMBER(F8),Веса!$B$8,0)</f>
        <v/>
      </c>
      <c r="Y8" s="36">
        <f>IF(ISNUMBER(G8),Веса!$B$9,0)</f>
        <v/>
      </c>
      <c r="Z8" s="36">
        <f>IF(ISNUMBER(H8),Веса!$B$10,0)</f>
        <v/>
      </c>
      <c r="AA8" s="36">
        <f>IF(ISNUMBER(I8),Веса!$B$11,0)</f>
        <v/>
      </c>
    </row>
    <row r="9" ht="15" customHeight="1" s="34">
      <c r="A9" s="36">
        <f>IF(Сравнение!A9="","",Сравнение!A9)</f>
        <v/>
      </c>
      <c r="B9" s="58">
        <f>IF(OR(NOT(ISNUMBER(Сравнение!M9)),COUNT(Сравнение!$M$5:$M$14)&lt;2),"",IF(MAX(Сравнение!$M$5:$M$14)=MIN(Сравнение!$M$5:$M$14),0.5,(Сравнение!M9-MIN(Сравнение!$M$5:$M$14))/(MAX(Сравнение!$M$5:$M$14)-MIN(Сравнение!$M$5:$M$14))))</f>
        <v/>
      </c>
      <c r="C9" s="58">
        <f>IF(OR(NOT(ISNUMBER(Сравнение!N9)),COUNT(Сравнение!$N$5:$N$14)&lt;2),"",IF(MAX(Сравнение!$N$5:$N$14)=MIN(Сравнение!$N$5:$N$14),0.5,(Сравнение!N9-MIN(Сравнение!$N$5:$N$14))/(MAX(Сравнение!$N$5:$N$14)-MIN(Сравнение!$N$5:$N$14))))</f>
        <v/>
      </c>
      <c r="D9" s="58">
        <f>IF(OR(NOT(ISNUMBER(Сравнение!O9)),COUNT(Сравнение!$O$5:$O$14)&lt;2),"",IF(MAX(Сравнение!$O$5:$O$14)=MIN(Сравнение!$O$5:$O$14),0.5,(MAX(Сравнение!$O$5:$O$14)-Сравнение!O9)/(MAX(Сравнение!$O$5:$O$14)-MIN(Сравнение!$O$5:$O$14))))</f>
        <v/>
      </c>
      <c r="E9" s="58">
        <f>IF(OR(NOT(ISNUMBER(Сравнение!P9)),COUNT(Сравнение!$P$5:$P$14)&lt;2),"",IF(MAX(Сравнение!$P$5:$P$14)=MIN(Сравнение!$P$5:$P$14),0.5,(MAX(Сравнение!$P$5:$P$14)-Сравнение!P9)/(MAX(Сравнение!$P$5:$P$14)-MIN(Сравнение!$P$5:$P$14))))</f>
        <v/>
      </c>
      <c r="F9" s="58">
        <f>IF(OR(NOT(ISNUMBER(Сравнение!J9)),COUNT(Сравнение!$J$5:$J$14)&lt;2),"",IF(MAX(Сравнение!$J$5:$J$14)=MIN(Сравнение!$J$5:$J$14),0.5,(Сравнение!J9-MIN(Сравнение!$J$5:$J$14))/(MAX(Сравнение!$J$5:$J$14)-MIN(Сравнение!$J$5:$J$14))))</f>
        <v/>
      </c>
      <c r="G9" s="58">
        <f>IF(OR(NOT(ISNUMBER(Сравнение!K9)),COUNT(Сравнение!$K$5:$K$14)&lt;2),"",IF(MAX(Сравнение!$K$5:$K$14)=MIN(Сравнение!$K$5:$K$14),0.5,(MAX(Сравнение!$K$5:$K$14)-Сравнение!K9)/(MAX(Сравнение!$K$5:$K$14)-MIN(Сравнение!$K$5:$K$14))))</f>
        <v/>
      </c>
      <c r="H9" s="58">
        <f>IF(OR(NOT(ISNUMBER(Сравнение!Q9)),COUNT(Сравнение!$Q$5:$Q$14)&lt;2),"",IF(MAX(Сравнение!$Q$5:$Q$14)=MIN(Сравнение!$Q$5:$Q$14),0.5,(MAX(Сравнение!$Q$5:$Q$14)-Сравнение!Q9)/(MAX(Сравнение!$Q$5:$Q$14)-MIN(Сравнение!$Q$5:$Q$14))))</f>
        <v/>
      </c>
      <c r="I9" s="58">
        <f>IF(OR(NOT(ISNUMBER(Сравнение!L9)),COUNT(Сравнение!$L$5:$L$14)&lt;2),"",IF(MAX(Сравнение!$L$5:$L$14)=MIN(Сравнение!$L$5:$L$14),0.5,(Сравнение!L9-MIN(Сравнение!$L$5:$L$14))/(MAX(Сравнение!$L$5:$L$14)-MIN(Сравнение!$L$5:$L$14))))</f>
        <v/>
      </c>
      <c r="J9" s="36" t="n"/>
      <c r="K9" s="59">
        <f>IF(OR(Сравнение!A9="",SUM(T9:AA9)=0),"",100*SUM(L9:S9)/SUM(T9:AA9))</f>
        <v/>
      </c>
      <c r="L9" s="36">
        <f>IF(ISNUMBER(B9),B9*Веса!$B$4,0)</f>
        <v/>
      </c>
      <c r="M9" s="36">
        <f>IF(ISNUMBER(C9),C9*Веса!$B$5,0)</f>
        <v/>
      </c>
      <c r="N9" s="36">
        <f>IF(ISNUMBER(D9),D9*Веса!$B$6,0)</f>
        <v/>
      </c>
      <c r="O9" s="36">
        <f>IF(ISNUMBER(E9),E9*Веса!$B$7,0)</f>
        <v/>
      </c>
      <c r="P9" s="36">
        <f>IF(ISNUMBER(F9),F9*Веса!$B$8,0)</f>
        <v/>
      </c>
      <c r="Q9" s="36">
        <f>IF(ISNUMBER(G9),G9*Веса!$B$9,0)</f>
        <v/>
      </c>
      <c r="R9" s="36">
        <f>IF(ISNUMBER(H9),H9*Веса!$B$10,0)</f>
        <v/>
      </c>
      <c r="S9" s="36">
        <f>IF(ISNUMBER(I9),I9*Веса!$B$11,0)</f>
        <v/>
      </c>
      <c r="T9" s="36">
        <f>IF(ISNUMBER(B9),Веса!$B$4,0)</f>
        <v/>
      </c>
      <c r="U9" s="36">
        <f>IF(ISNUMBER(C9),Веса!$B$5,0)</f>
        <v/>
      </c>
      <c r="V9" s="36">
        <f>IF(ISNUMBER(D9),Веса!$B$6,0)</f>
        <v/>
      </c>
      <c r="W9" s="36">
        <f>IF(ISNUMBER(E9),Веса!$B$7,0)</f>
        <v/>
      </c>
      <c r="X9" s="36">
        <f>IF(ISNUMBER(F9),Веса!$B$8,0)</f>
        <v/>
      </c>
      <c r="Y9" s="36">
        <f>IF(ISNUMBER(G9),Веса!$B$9,0)</f>
        <v/>
      </c>
      <c r="Z9" s="36">
        <f>IF(ISNUMBER(H9),Веса!$B$10,0)</f>
        <v/>
      </c>
      <c r="AA9" s="36">
        <f>IF(ISNUMBER(I9),Веса!$B$11,0)</f>
        <v/>
      </c>
    </row>
    <row r="10" ht="15" customHeight="1" s="34">
      <c r="A10" s="36">
        <f>IF(Сравнение!A10="","",Сравнение!A10)</f>
        <v/>
      </c>
      <c r="B10" s="58">
        <f>IF(OR(NOT(ISNUMBER(Сравнение!M10)),COUNT(Сравнение!$M$5:$M$14)&lt;2),"",IF(MAX(Сравнение!$M$5:$M$14)=MIN(Сравнение!$M$5:$M$14),0.5,(Сравнение!M10-MIN(Сравнение!$M$5:$M$14))/(MAX(Сравнение!$M$5:$M$14)-MIN(Сравнение!$M$5:$M$14))))</f>
        <v/>
      </c>
      <c r="C10" s="58">
        <f>IF(OR(NOT(ISNUMBER(Сравнение!N10)),COUNT(Сравнение!$N$5:$N$14)&lt;2),"",IF(MAX(Сравнение!$N$5:$N$14)=MIN(Сравнение!$N$5:$N$14),0.5,(Сравнение!N10-MIN(Сравнение!$N$5:$N$14))/(MAX(Сравнение!$N$5:$N$14)-MIN(Сравнение!$N$5:$N$14))))</f>
        <v/>
      </c>
      <c r="D10" s="58">
        <f>IF(OR(NOT(ISNUMBER(Сравнение!O10)),COUNT(Сравнение!$O$5:$O$14)&lt;2),"",IF(MAX(Сравнение!$O$5:$O$14)=MIN(Сравнение!$O$5:$O$14),0.5,(MAX(Сравнение!$O$5:$O$14)-Сравнение!O10)/(MAX(Сравнение!$O$5:$O$14)-MIN(Сравнение!$O$5:$O$14))))</f>
        <v/>
      </c>
      <c r="E10" s="58">
        <f>IF(OR(NOT(ISNUMBER(Сравнение!P10)),COUNT(Сравнение!$P$5:$P$14)&lt;2),"",IF(MAX(Сравнение!$P$5:$P$14)=MIN(Сравнение!$P$5:$P$14),0.5,(MAX(Сравнение!$P$5:$P$14)-Сравнение!P10)/(MAX(Сравнение!$P$5:$P$14)-MIN(Сравнение!$P$5:$P$14))))</f>
        <v/>
      </c>
      <c r="F10" s="58">
        <f>IF(OR(NOT(ISNUMBER(Сравнение!J10)),COUNT(Сравнение!$J$5:$J$14)&lt;2),"",IF(MAX(Сравнение!$J$5:$J$14)=MIN(Сравнение!$J$5:$J$14),0.5,(Сравнение!J10-MIN(Сравнение!$J$5:$J$14))/(MAX(Сравнение!$J$5:$J$14)-MIN(Сравнение!$J$5:$J$14))))</f>
        <v/>
      </c>
      <c r="G10" s="58">
        <f>IF(OR(NOT(ISNUMBER(Сравнение!K10)),COUNT(Сравнение!$K$5:$K$14)&lt;2),"",IF(MAX(Сравнение!$K$5:$K$14)=MIN(Сравнение!$K$5:$K$14),0.5,(MAX(Сравнение!$K$5:$K$14)-Сравнение!K10)/(MAX(Сравнение!$K$5:$K$14)-MIN(Сравнение!$K$5:$K$14))))</f>
        <v/>
      </c>
      <c r="H10" s="58">
        <f>IF(OR(NOT(ISNUMBER(Сравнение!Q10)),COUNT(Сравнение!$Q$5:$Q$14)&lt;2),"",IF(MAX(Сравнение!$Q$5:$Q$14)=MIN(Сравнение!$Q$5:$Q$14),0.5,(MAX(Сравнение!$Q$5:$Q$14)-Сравнение!Q10)/(MAX(Сравнение!$Q$5:$Q$14)-MIN(Сравнение!$Q$5:$Q$14))))</f>
        <v/>
      </c>
      <c r="I10" s="58">
        <f>IF(OR(NOT(ISNUMBER(Сравнение!L10)),COUNT(Сравнение!$L$5:$L$14)&lt;2),"",IF(MAX(Сравнение!$L$5:$L$14)=MIN(Сравнение!$L$5:$L$14),0.5,(Сравнение!L10-MIN(Сравнение!$L$5:$L$14))/(MAX(Сравнение!$L$5:$L$14)-MIN(Сравнение!$L$5:$L$14))))</f>
        <v/>
      </c>
      <c r="J10" s="36" t="n"/>
      <c r="K10" s="59">
        <f>IF(OR(Сравнение!A10="",SUM(T10:AA10)=0),"",100*SUM(L10:S10)/SUM(T10:AA10))</f>
        <v/>
      </c>
      <c r="L10" s="36">
        <f>IF(ISNUMBER(B10),B10*Веса!$B$4,0)</f>
        <v/>
      </c>
      <c r="M10" s="36">
        <f>IF(ISNUMBER(C10),C10*Веса!$B$5,0)</f>
        <v/>
      </c>
      <c r="N10" s="36">
        <f>IF(ISNUMBER(D10),D10*Веса!$B$6,0)</f>
        <v/>
      </c>
      <c r="O10" s="36">
        <f>IF(ISNUMBER(E10),E10*Веса!$B$7,0)</f>
        <v/>
      </c>
      <c r="P10" s="36">
        <f>IF(ISNUMBER(F10),F10*Веса!$B$8,0)</f>
        <v/>
      </c>
      <c r="Q10" s="36">
        <f>IF(ISNUMBER(G10),G10*Веса!$B$9,0)</f>
        <v/>
      </c>
      <c r="R10" s="36">
        <f>IF(ISNUMBER(H10),H10*Веса!$B$10,0)</f>
        <v/>
      </c>
      <c r="S10" s="36">
        <f>IF(ISNUMBER(I10),I10*Веса!$B$11,0)</f>
        <v/>
      </c>
      <c r="T10" s="36">
        <f>IF(ISNUMBER(B10),Веса!$B$4,0)</f>
        <v/>
      </c>
      <c r="U10" s="36">
        <f>IF(ISNUMBER(C10),Веса!$B$5,0)</f>
        <v/>
      </c>
      <c r="V10" s="36">
        <f>IF(ISNUMBER(D10),Веса!$B$6,0)</f>
        <v/>
      </c>
      <c r="W10" s="36">
        <f>IF(ISNUMBER(E10),Веса!$B$7,0)</f>
        <v/>
      </c>
      <c r="X10" s="36">
        <f>IF(ISNUMBER(F10),Веса!$B$8,0)</f>
        <v/>
      </c>
      <c r="Y10" s="36">
        <f>IF(ISNUMBER(G10),Веса!$B$9,0)</f>
        <v/>
      </c>
      <c r="Z10" s="36">
        <f>IF(ISNUMBER(H10),Веса!$B$10,0)</f>
        <v/>
      </c>
      <c r="AA10" s="36">
        <f>IF(ISNUMBER(I10),Веса!$B$11,0)</f>
        <v/>
      </c>
    </row>
    <row r="11" ht="15" customHeight="1" s="34">
      <c r="A11" s="36">
        <f>IF(Сравнение!A11="","",Сравнение!A11)</f>
        <v/>
      </c>
      <c r="B11" s="58">
        <f>IF(OR(NOT(ISNUMBER(Сравнение!M11)),COUNT(Сравнение!$M$5:$M$14)&lt;2),"",IF(MAX(Сравнение!$M$5:$M$14)=MIN(Сравнение!$M$5:$M$14),0.5,(Сравнение!M11-MIN(Сравнение!$M$5:$M$14))/(MAX(Сравнение!$M$5:$M$14)-MIN(Сравнение!$M$5:$M$14))))</f>
        <v/>
      </c>
      <c r="C11" s="58">
        <f>IF(OR(NOT(ISNUMBER(Сравнение!N11)),COUNT(Сравнение!$N$5:$N$14)&lt;2),"",IF(MAX(Сравнение!$N$5:$N$14)=MIN(Сравнение!$N$5:$N$14),0.5,(Сравнение!N11-MIN(Сравнение!$N$5:$N$14))/(MAX(Сравнение!$N$5:$N$14)-MIN(Сравнение!$N$5:$N$14))))</f>
        <v/>
      </c>
      <c r="D11" s="58">
        <f>IF(OR(NOT(ISNUMBER(Сравнение!O11)),COUNT(Сравнение!$O$5:$O$14)&lt;2),"",IF(MAX(Сравнение!$O$5:$O$14)=MIN(Сравнение!$O$5:$O$14),0.5,(MAX(Сравнение!$O$5:$O$14)-Сравнение!O11)/(MAX(Сравнение!$O$5:$O$14)-MIN(Сравнение!$O$5:$O$14))))</f>
        <v/>
      </c>
      <c r="E11" s="58">
        <f>IF(OR(NOT(ISNUMBER(Сравнение!P11)),COUNT(Сравнение!$P$5:$P$14)&lt;2),"",IF(MAX(Сравнение!$P$5:$P$14)=MIN(Сравнение!$P$5:$P$14),0.5,(MAX(Сравнение!$P$5:$P$14)-Сравнение!P11)/(MAX(Сравнение!$P$5:$P$14)-MIN(Сравнение!$P$5:$P$14))))</f>
        <v/>
      </c>
      <c r="F11" s="58">
        <f>IF(OR(NOT(ISNUMBER(Сравнение!J11)),COUNT(Сравнение!$J$5:$J$14)&lt;2),"",IF(MAX(Сравнение!$J$5:$J$14)=MIN(Сравнение!$J$5:$J$14),0.5,(Сравнение!J11-MIN(Сравнение!$J$5:$J$14))/(MAX(Сравнение!$J$5:$J$14)-MIN(Сравнение!$J$5:$J$14))))</f>
        <v/>
      </c>
      <c r="G11" s="58">
        <f>IF(OR(NOT(ISNUMBER(Сравнение!K11)),COUNT(Сравнение!$K$5:$K$14)&lt;2),"",IF(MAX(Сравнение!$K$5:$K$14)=MIN(Сравнение!$K$5:$K$14),0.5,(MAX(Сравнение!$K$5:$K$14)-Сравнение!K11)/(MAX(Сравнение!$K$5:$K$14)-MIN(Сравнение!$K$5:$K$14))))</f>
        <v/>
      </c>
      <c r="H11" s="58">
        <f>IF(OR(NOT(ISNUMBER(Сравнение!Q11)),COUNT(Сравнение!$Q$5:$Q$14)&lt;2),"",IF(MAX(Сравнение!$Q$5:$Q$14)=MIN(Сравнение!$Q$5:$Q$14),0.5,(MAX(Сравнение!$Q$5:$Q$14)-Сравнение!Q11)/(MAX(Сравнение!$Q$5:$Q$14)-MIN(Сравнение!$Q$5:$Q$14))))</f>
        <v/>
      </c>
      <c r="I11" s="58">
        <f>IF(OR(NOT(ISNUMBER(Сравнение!L11)),COUNT(Сравнение!$L$5:$L$14)&lt;2),"",IF(MAX(Сравнение!$L$5:$L$14)=MIN(Сравнение!$L$5:$L$14),0.5,(Сравнение!L11-MIN(Сравнение!$L$5:$L$14))/(MAX(Сравнение!$L$5:$L$14)-MIN(Сравнение!$L$5:$L$14))))</f>
        <v/>
      </c>
      <c r="J11" s="36" t="n"/>
      <c r="K11" s="59">
        <f>IF(OR(Сравнение!A11="",SUM(T11:AA11)=0),"",100*SUM(L11:S11)/SUM(T11:AA11))</f>
        <v/>
      </c>
      <c r="L11" s="36">
        <f>IF(ISNUMBER(B11),B11*Веса!$B$4,0)</f>
        <v/>
      </c>
      <c r="M11" s="36">
        <f>IF(ISNUMBER(C11),C11*Веса!$B$5,0)</f>
        <v/>
      </c>
      <c r="N11" s="36">
        <f>IF(ISNUMBER(D11),D11*Веса!$B$6,0)</f>
        <v/>
      </c>
      <c r="O11" s="36">
        <f>IF(ISNUMBER(E11),E11*Веса!$B$7,0)</f>
        <v/>
      </c>
      <c r="P11" s="36">
        <f>IF(ISNUMBER(F11),F11*Веса!$B$8,0)</f>
        <v/>
      </c>
      <c r="Q11" s="36">
        <f>IF(ISNUMBER(G11),G11*Веса!$B$9,0)</f>
        <v/>
      </c>
      <c r="R11" s="36">
        <f>IF(ISNUMBER(H11),H11*Веса!$B$10,0)</f>
        <v/>
      </c>
      <c r="S11" s="36">
        <f>IF(ISNUMBER(I11),I11*Веса!$B$11,0)</f>
        <v/>
      </c>
      <c r="T11" s="36">
        <f>IF(ISNUMBER(B11),Веса!$B$4,0)</f>
        <v/>
      </c>
      <c r="U11" s="36">
        <f>IF(ISNUMBER(C11),Веса!$B$5,0)</f>
        <v/>
      </c>
      <c r="V11" s="36">
        <f>IF(ISNUMBER(D11),Веса!$B$6,0)</f>
        <v/>
      </c>
      <c r="W11" s="36">
        <f>IF(ISNUMBER(E11),Веса!$B$7,0)</f>
        <v/>
      </c>
      <c r="X11" s="36">
        <f>IF(ISNUMBER(F11),Веса!$B$8,0)</f>
        <v/>
      </c>
      <c r="Y11" s="36">
        <f>IF(ISNUMBER(G11),Веса!$B$9,0)</f>
        <v/>
      </c>
      <c r="Z11" s="36">
        <f>IF(ISNUMBER(H11),Веса!$B$10,0)</f>
        <v/>
      </c>
      <c r="AA11" s="36">
        <f>IF(ISNUMBER(I11),Веса!$B$11,0)</f>
        <v/>
      </c>
    </row>
    <row r="12" ht="15" customHeight="1" s="34">
      <c r="A12" s="36">
        <f>IF(Сравнение!A12="","",Сравнение!A12)</f>
        <v/>
      </c>
      <c r="B12" s="58">
        <f>IF(OR(NOT(ISNUMBER(Сравнение!M12)),COUNT(Сравнение!$M$5:$M$14)&lt;2),"",IF(MAX(Сравнение!$M$5:$M$14)=MIN(Сравнение!$M$5:$M$14),0.5,(Сравнение!M12-MIN(Сравнение!$M$5:$M$14))/(MAX(Сравнение!$M$5:$M$14)-MIN(Сравнение!$M$5:$M$14))))</f>
        <v/>
      </c>
      <c r="C12" s="58">
        <f>IF(OR(NOT(ISNUMBER(Сравнение!N12)),COUNT(Сравнение!$N$5:$N$14)&lt;2),"",IF(MAX(Сравнение!$N$5:$N$14)=MIN(Сравнение!$N$5:$N$14),0.5,(Сравнение!N12-MIN(Сравнение!$N$5:$N$14))/(MAX(Сравнение!$N$5:$N$14)-MIN(Сравнение!$N$5:$N$14))))</f>
        <v/>
      </c>
      <c r="D12" s="58">
        <f>IF(OR(NOT(ISNUMBER(Сравнение!O12)),COUNT(Сравнение!$O$5:$O$14)&lt;2),"",IF(MAX(Сравнение!$O$5:$O$14)=MIN(Сравнение!$O$5:$O$14),0.5,(MAX(Сравнение!$O$5:$O$14)-Сравнение!O12)/(MAX(Сравнение!$O$5:$O$14)-MIN(Сравнение!$O$5:$O$14))))</f>
        <v/>
      </c>
      <c r="E12" s="58">
        <f>IF(OR(NOT(ISNUMBER(Сравнение!P12)),COUNT(Сравнение!$P$5:$P$14)&lt;2),"",IF(MAX(Сравнение!$P$5:$P$14)=MIN(Сравнение!$P$5:$P$14),0.5,(MAX(Сравнение!$P$5:$P$14)-Сравнение!P12)/(MAX(Сравнение!$P$5:$P$14)-MIN(Сравнение!$P$5:$P$14))))</f>
        <v/>
      </c>
      <c r="F12" s="58">
        <f>IF(OR(NOT(ISNUMBER(Сравнение!J12)),COUNT(Сравнение!$J$5:$J$14)&lt;2),"",IF(MAX(Сравнение!$J$5:$J$14)=MIN(Сравнение!$J$5:$J$14),0.5,(Сравнение!J12-MIN(Сравнение!$J$5:$J$14))/(MAX(Сравнение!$J$5:$J$14)-MIN(Сравнение!$J$5:$J$14))))</f>
        <v/>
      </c>
      <c r="G12" s="58">
        <f>IF(OR(NOT(ISNUMBER(Сравнение!K12)),COUNT(Сравнение!$K$5:$K$14)&lt;2),"",IF(MAX(Сравнение!$K$5:$K$14)=MIN(Сравнение!$K$5:$K$14),0.5,(MAX(Сравнение!$K$5:$K$14)-Сравнение!K12)/(MAX(Сравнение!$K$5:$K$14)-MIN(Сравнение!$K$5:$K$14))))</f>
        <v/>
      </c>
      <c r="H12" s="58">
        <f>IF(OR(NOT(ISNUMBER(Сравнение!Q12)),COUNT(Сравнение!$Q$5:$Q$14)&lt;2),"",IF(MAX(Сравнение!$Q$5:$Q$14)=MIN(Сравнение!$Q$5:$Q$14),0.5,(MAX(Сравнение!$Q$5:$Q$14)-Сравнение!Q12)/(MAX(Сравнение!$Q$5:$Q$14)-MIN(Сравнение!$Q$5:$Q$14))))</f>
        <v/>
      </c>
      <c r="I12" s="58">
        <f>IF(OR(NOT(ISNUMBER(Сравнение!L12)),COUNT(Сравнение!$L$5:$L$14)&lt;2),"",IF(MAX(Сравнение!$L$5:$L$14)=MIN(Сравнение!$L$5:$L$14),0.5,(Сравнение!L12-MIN(Сравнение!$L$5:$L$14))/(MAX(Сравнение!$L$5:$L$14)-MIN(Сравнение!$L$5:$L$14))))</f>
        <v/>
      </c>
      <c r="J12" s="36" t="n"/>
      <c r="K12" s="59">
        <f>IF(OR(Сравнение!A12="",SUM(T12:AA12)=0),"",100*SUM(L12:S12)/SUM(T12:AA12))</f>
        <v/>
      </c>
      <c r="L12" s="36">
        <f>IF(ISNUMBER(B12),B12*Веса!$B$4,0)</f>
        <v/>
      </c>
      <c r="M12" s="36">
        <f>IF(ISNUMBER(C12),C12*Веса!$B$5,0)</f>
        <v/>
      </c>
      <c r="N12" s="36">
        <f>IF(ISNUMBER(D12),D12*Веса!$B$6,0)</f>
        <v/>
      </c>
      <c r="O12" s="36">
        <f>IF(ISNUMBER(E12),E12*Веса!$B$7,0)</f>
        <v/>
      </c>
      <c r="P12" s="36">
        <f>IF(ISNUMBER(F12),F12*Веса!$B$8,0)</f>
        <v/>
      </c>
      <c r="Q12" s="36">
        <f>IF(ISNUMBER(G12),G12*Веса!$B$9,0)</f>
        <v/>
      </c>
      <c r="R12" s="36">
        <f>IF(ISNUMBER(H12),H12*Веса!$B$10,0)</f>
        <v/>
      </c>
      <c r="S12" s="36">
        <f>IF(ISNUMBER(I12),I12*Веса!$B$11,0)</f>
        <v/>
      </c>
      <c r="T12" s="36">
        <f>IF(ISNUMBER(B12),Веса!$B$4,0)</f>
        <v/>
      </c>
      <c r="U12" s="36">
        <f>IF(ISNUMBER(C12),Веса!$B$5,0)</f>
        <v/>
      </c>
      <c r="V12" s="36">
        <f>IF(ISNUMBER(D12),Веса!$B$6,0)</f>
        <v/>
      </c>
      <c r="W12" s="36">
        <f>IF(ISNUMBER(E12),Веса!$B$7,0)</f>
        <v/>
      </c>
      <c r="X12" s="36">
        <f>IF(ISNUMBER(F12),Веса!$B$8,0)</f>
        <v/>
      </c>
      <c r="Y12" s="36">
        <f>IF(ISNUMBER(G12),Веса!$B$9,0)</f>
        <v/>
      </c>
      <c r="Z12" s="36">
        <f>IF(ISNUMBER(H12),Веса!$B$10,0)</f>
        <v/>
      </c>
      <c r="AA12" s="36">
        <f>IF(ISNUMBER(I12),Веса!$B$11,0)</f>
        <v/>
      </c>
    </row>
    <row r="13" ht="15" customHeight="1" s="34">
      <c r="A13" s="36">
        <f>IF(Сравнение!A13="","",Сравнение!A13)</f>
        <v/>
      </c>
      <c r="B13" s="58">
        <f>IF(OR(NOT(ISNUMBER(Сравнение!M13)),COUNT(Сравнение!$M$5:$M$14)&lt;2),"",IF(MAX(Сравнение!$M$5:$M$14)=MIN(Сравнение!$M$5:$M$14),0.5,(Сравнение!M13-MIN(Сравнение!$M$5:$M$14))/(MAX(Сравнение!$M$5:$M$14)-MIN(Сравнение!$M$5:$M$14))))</f>
        <v/>
      </c>
      <c r="C13" s="58">
        <f>IF(OR(NOT(ISNUMBER(Сравнение!N13)),COUNT(Сравнение!$N$5:$N$14)&lt;2),"",IF(MAX(Сравнение!$N$5:$N$14)=MIN(Сравнение!$N$5:$N$14),0.5,(Сравнение!N13-MIN(Сравнение!$N$5:$N$14))/(MAX(Сравнение!$N$5:$N$14)-MIN(Сравнение!$N$5:$N$14))))</f>
        <v/>
      </c>
      <c r="D13" s="58">
        <f>IF(OR(NOT(ISNUMBER(Сравнение!O13)),COUNT(Сравнение!$O$5:$O$14)&lt;2),"",IF(MAX(Сравнение!$O$5:$O$14)=MIN(Сравнение!$O$5:$O$14),0.5,(MAX(Сравнение!$O$5:$O$14)-Сравнение!O13)/(MAX(Сравнение!$O$5:$O$14)-MIN(Сравнение!$O$5:$O$14))))</f>
        <v/>
      </c>
      <c r="E13" s="58">
        <f>IF(OR(NOT(ISNUMBER(Сравнение!P13)),COUNT(Сравнение!$P$5:$P$14)&lt;2),"",IF(MAX(Сравнение!$P$5:$P$14)=MIN(Сравнение!$P$5:$P$14),0.5,(MAX(Сравнение!$P$5:$P$14)-Сравнение!P13)/(MAX(Сравнение!$P$5:$P$14)-MIN(Сравнение!$P$5:$P$14))))</f>
        <v/>
      </c>
      <c r="F13" s="58">
        <f>IF(OR(NOT(ISNUMBER(Сравнение!J13)),COUNT(Сравнение!$J$5:$J$14)&lt;2),"",IF(MAX(Сравнение!$J$5:$J$14)=MIN(Сравнение!$J$5:$J$14),0.5,(Сравнение!J13-MIN(Сравнение!$J$5:$J$14))/(MAX(Сравнение!$J$5:$J$14)-MIN(Сравнение!$J$5:$J$14))))</f>
        <v/>
      </c>
      <c r="G13" s="58">
        <f>IF(OR(NOT(ISNUMBER(Сравнение!K13)),COUNT(Сравнение!$K$5:$K$14)&lt;2),"",IF(MAX(Сравнение!$K$5:$K$14)=MIN(Сравнение!$K$5:$K$14),0.5,(MAX(Сравнение!$K$5:$K$14)-Сравнение!K13)/(MAX(Сравнение!$K$5:$K$14)-MIN(Сравнение!$K$5:$K$14))))</f>
        <v/>
      </c>
      <c r="H13" s="58">
        <f>IF(OR(NOT(ISNUMBER(Сравнение!Q13)),COUNT(Сравнение!$Q$5:$Q$14)&lt;2),"",IF(MAX(Сравнение!$Q$5:$Q$14)=MIN(Сравнение!$Q$5:$Q$14),0.5,(MAX(Сравнение!$Q$5:$Q$14)-Сравнение!Q13)/(MAX(Сравнение!$Q$5:$Q$14)-MIN(Сравнение!$Q$5:$Q$14))))</f>
        <v/>
      </c>
      <c r="I13" s="58">
        <f>IF(OR(NOT(ISNUMBER(Сравнение!L13)),COUNT(Сравнение!$L$5:$L$14)&lt;2),"",IF(MAX(Сравнение!$L$5:$L$14)=MIN(Сравнение!$L$5:$L$14),0.5,(Сравнение!L13-MIN(Сравнение!$L$5:$L$14))/(MAX(Сравнение!$L$5:$L$14)-MIN(Сравнение!$L$5:$L$14))))</f>
        <v/>
      </c>
      <c r="J13" s="36" t="n"/>
      <c r="K13" s="59">
        <f>IF(OR(Сравнение!A13="",SUM(T13:AA13)=0),"",100*SUM(L13:S13)/SUM(T13:AA13))</f>
        <v/>
      </c>
      <c r="L13" s="36">
        <f>IF(ISNUMBER(B13),B13*Веса!$B$4,0)</f>
        <v/>
      </c>
      <c r="M13" s="36">
        <f>IF(ISNUMBER(C13),C13*Веса!$B$5,0)</f>
        <v/>
      </c>
      <c r="N13" s="36">
        <f>IF(ISNUMBER(D13),D13*Веса!$B$6,0)</f>
        <v/>
      </c>
      <c r="O13" s="36">
        <f>IF(ISNUMBER(E13),E13*Веса!$B$7,0)</f>
        <v/>
      </c>
      <c r="P13" s="36">
        <f>IF(ISNUMBER(F13),F13*Веса!$B$8,0)</f>
        <v/>
      </c>
      <c r="Q13" s="36">
        <f>IF(ISNUMBER(G13),G13*Веса!$B$9,0)</f>
        <v/>
      </c>
      <c r="R13" s="36">
        <f>IF(ISNUMBER(H13),H13*Веса!$B$10,0)</f>
        <v/>
      </c>
      <c r="S13" s="36">
        <f>IF(ISNUMBER(I13),I13*Веса!$B$11,0)</f>
        <v/>
      </c>
      <c r="T13" s="36">
        <f>IF(ISNUMBER(B13),Веса!$B$4,0)</f>
        <v/>
      </c>
      <c r="U13" s="36">
        <f>IF(ISNUMBER(C13),Веса!$B$5,0)</f>
        <v/>
      </c>
      <c r="V13" s="36">
        <f>IF(ISNUMBER(D13),Веса!$B$6,0)</f>
        <v/>
      </c>
      <c r="W13" s="36">
        <f>IF(ISNUMBER(E13),Веса!$B$7,0)</f>
        <v/>
      </c>
      <c r="X13" s="36">
        <f>IF(ISNUMBER(F13),Веса!$B$8,0)</f>
        <v/>
      </c>
      <c r="Y13" s="36">
        <f>IF(ISNUMBER(G13),Веса!$B$9,0)</f>
        <v/>
      </c>
      <c r="Z13" s="36">
        <f>IF(ISNUMBER(H13),Веса!$B$10,0)</f>
        <v/>
      </c>
      <c r="AA13" s="36">
        <f>IF(ISNUMBER(I13),Веса!$B$11,0)</f>
        <v/>
      </c>
    </row>
    <row r="14" ht="15" customHeight="1" s="34">
      <c r="A14" s="36">
        <f>IF(Сравнение!A14="","",Сравнение!A14)</f>
        <v/>
      </c>
      <c r="B14" s="58">
        <f>IF(OR(NOT(ISNUMBER(Сравнение!M14)),COUNT(Сравнение!$M$5:$M$14)&lt;2),"",IF(MAX(Сравнение!$M$5:$M$14)=MIN(Сравнение!$M$5:$M$14),0.5,(Сравнение!M14-MIN(Сравнение!$M$5:$M$14))/(MAX(Сравнение!$M$5:$M$14)-MIN(Сравнение!$M$5:$M$14))))</f>
        <v/>
      </c>
      <c r="C14" s="58">
        <f>IF(OR(NOT(ISNUMBER(Сравнение!N14)),COUNT(Сравнение!$N$5:$N$14)&lt;2),"",IF(MAX(Сравнение!$N$5:$N$14)=MIN(Сравнение!$N$5:$N$14),0.5,(Сравнение!N14-MIN(Сравнение!$N$5:$N$14))/(MAX(Сравнение!$N$5:$N$14)-MIN(Сравнение!$N$5:$N$14))))</f>
        <v/>
      </c>
      <c r="D14" s="58">
        <f>IF(OR(NOT(ISNUMBER(Сравнение!O14)),COUNT(Сравнение!$O$5:$O$14)&lt;2),"",IF(MAX(Сравнение!$O$5:$O$14)=MIN(Сравнение!$O$5:$O$14),0.5,(MAX(Сравнение!$O$5:$O$14)-Сравнение!O14)/(MAX(Сравнение!$O$5:$O$14)-MIN(Сравнение!$O$5:$O$14))))</f>
        <v/>
      </c>
      <c r="E14" s="58">
        <f>IF(OR(NOT(ISNUMBER(Сравнение!P14)),COUNT(Сравнение!$P$5:$P$14)&lt;2),"",IF(MAX(Сравнение!$P$5:$P$14)=MIN(Сравнение!$P$5:$P$14),0.5,(MAX(Сравнение!$P$5:$P$14)-Сравнение!P14)/(MAX(Сравнение!$P$5:$P$14)-MIN(Сравнение!$P$5:$P$14))))</f>
        <v/>
      </c>
      <c r="F14" s="58">
        <f>IF(OR(NOT(ISNUMBER(Сравнение!J14)),COUNT(Сравнение!$J$5:$J$14)&lt;2),"",IF(MAX(Сравнение!$J$5:$J$14)=MIN(Сравнение!$J$5:$J$14),0.5,(Сравнение!J14-MIN(Сравнение!$J$5:$J$14))/(MAX(Сравнение!$J$5:$J$14)-MIN(Сравнение!$J$5:$J$14))))</f>
        <v/>
      </c>
      <c r="G14" s="58">
        <f>IF(OR(NOT(ISNUMBER(Сравнение!K14)),COUNT(Сравнение!$K$5:$K$14)&lt;2),"",IF(MAX(Сравнение!$K$5:$K$14)=MIN(Сравнение!$K$5:$K$14),0.5,(MAX(Сравнение!$K$5:$K$14)-Сравнение!K14)/(MAX(Сравнение!$K$5:$K$14)-MIN(Сравнение!$K$5:$K$14))))</f>
        <v/>
      </c>
      <c r="H14" s="58">
        <f>IF(OR(NOT(ISNUMBER(Сравнение!Q14)),COUNT(Сравнение!$Q$5:$Q$14)&lt;2),"",IF(MAX(Сравнение!$Q$5:$Q$14)=MIN(Сравнение!$Q$5:$Q$14),0.5,(MAX(Сравнение!$Q$5:$Q$14)-Сравнение!Q14)/(MAX(Сравнение!$Q$5:$Q$14)-MIN(Сравнение!$Q$5:$Q$14))))</f>
        <v/>
      </c>
      <c r="I14" s="58">
        <f>IF(OR(NOT(ISNUMBER(Сравнение!L14)),COUNT(Сравнение!$L$5:$L$14)&lt;2),"",IF(MAX(Сравнение!$L$5:$L$14)=MIN(Сравнение!$L$5:$L$14),0.5,(Сравнение!L14-MIN(Сравнение!$L$5:$L$14))/(MAX(Сравнение!$L$5:$L$14)-MIN(Сравнение!$L$5:$L$14))))</f>
        <v/>
      </c>
      <c r="J14" s="36" t="n"/>
      <c r="K14" s="59">
        <f>IF(OR(Сравнение!A14="",SUM(T14:AA14)=0),"",100*SUM(L14:S14)/SUM(T14:AA14))</f>
        <v/>
      </c>
      <c r="L14" s="36">
        <f>IF(ISNUMBER(B14),B14*Веса!$B$4,0)</f>
        <v/>
      </c>
      <c r="M14" s="36">
        <f>IF(ISNUMBER(C14),C14*Веса!$B$5,0)</f>
        <v/>
      </c>
      <c r="N14" s="36">
        <f>IF(ISNUMBER(D14),D14*Веса!$B$6,0)</f>
        <v/>
      </c>
      <c r="O14" s="36">
        <f>IF(ISNUMBER(E14),E14*Веса!$B$7,0)</f>
        <v/>
      </c>
      <c r="P14" s="36">
        <f>IF(ISNUMBER(F14),F14*Веса!$B$8,0)</f>
        <v/>
      </c>
      <c r="Q14" s="36">
        <f>IF(ISNUMBER(G14),G14*Веса!$B$9,0)</f>
        <v/>
      </c>
      <c r="R14" s="36">
        <f>IF(ISNUMBER(H14),H14*Веса!$B$10,0)</f>
        <v/>
      </c>
      <c r="S14" s="36">
        <f>IF(ISNUMBER(I14),I14*Веса!$B$11,0)</f>
        <v/>
      </c>
      <c r="T14" s="36">
        <f>IF(ISNUMBER(B14),Веса!$B$4,0)</f>
        <v/>
      </c>
      <c r="U14" s="36">
        <f>IF(ISNUMBER(C14),Веса!$B$5,0)</f>
        <v/>
      </c>
      <c r="V14" s="36">
        <f>IF(ISNUMBER(D14),Веса!$B$6,0)</f>
        <v/>
      </c>
      <c r="W14" s="36">
        <f>IF(ISNUMBER(E14),Веса!$B$7,0)</f>
        <v/>
      </c>
      <c r="X14" s="36">
        <f>IF(ISNUMBER(F14),Веса!$B$8,0)</f>
        <v/>
      </c>
      <c r="Y14" s="36">
        <f>IF(ISNUMBER(G14),Веса!$B$9,0)</f>
        <v/>
      </c>
      <c r="Z14" s="36">
        <f>IF(ISNUMBER(H14),Веса!$B$10,0)</f>
        <v/>
      </c>
      <c r="AA14" s="36">
        <f>IF(ISNUMBER(I14),Веса!$B$11,0)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10" customWidth="1" style="33" min="2" max="2"/>
    <col width="18" customWidth="1" style="33" min="3" max="3"/>
  </cols>
  <sheetData>
    <row r="1" ht="17.35" customHeight="1" s="34">
      <c r="A1" s="60" t="inlineStr">
        <is>
          <t>Веса метрик (меняй под себя)</t>
        </is>
      </c>
      <c r="B1" s="36" t="n"/>
      <c r="C1" s="36" t="n"/>
    </row>
    <row r="2" ht="15" customHeight="1" s="34">
      <c r="A2" s="36" t="n"/>
      <c r="B2" s="36" t="n"/>
      <c r="C2" s="36" t="n"/>
    </row>
    <row r="3" ht="15" customHeight="1" s="34">
      <c r="A3" s="61" t="inlineStr">
        <is>
          <t>Метрика</t>
        </is>
      </c>
      <c r="B3" s="61" t="inlineStr">
        <is>
          <t>Вес</t>
        </is>
      </c>
      <c r="C3" s="61" t="inlineStr">
        <is>
          <t>Направление</t>
        </is>
      </c>
    </row>
    <row r="4" ht="15" customHeight="1" s="34">
      <c r="A4" s="62" t="inlineStr">
        <is>
          <t>Рост TVL 6м</t>
        </is>
      </c>
      <c r="B4" s="63" t="n">
        <v>15</v>
      </c>
      <c r="C4" s="64" t="inlineStr">
        <is>
          <t>больше = лучше</t>
        </is>
      </c>
    </row>
    <row r="5" ht="15" customHeight="1" s="34">
      <c r="A5" s="62" t="inlineStr">
        <is>
          <t>Рост адресов 6м</t>
        </is>
      </c>
      <c r="B5" s="63" t="n">
        <v>15</v>
      </c>
      <c r="C5" s="64" t="inlineStr">
        <is>
          <t>больше = лучше</t>
        </is>
      </c>
    </row>
    <row r="6" ht="15" customHeight="1" s="34">
      <c r="A6" s="62" t="inlineStr">
        <is>
          <t>Mcap / TVL</t>
        </is>
      </c>
      <c r="B6" s="63" t="n">
        <v>10</v>
      </c>
      <c r="C6" s="64" t="inlineStr">
        <is>
          <t>меньше = лучше</t>
        </is>
      </c>
    </row>
    <row r="7" ht="15" customHeight="1" s="34">
      <c r="A7" s="62" t="inlineStr">
        <is>
          <t>Mcap / Доход</t>
        </is>
      </c>
      <c r="B7" s="63" t="n">
        <v>15</v>
      </c>
      <c r="C7" s="64" t="inlineStr">
        <is>
          <t>меньше = лучше</t>
        </is>
      </c>
    </row>
    <row r="8" ht="15" customHeight="1" s="34">
      <c r="A8" s="62" t="inlineStr">
        <is>
          <t>Активных разработчиков</t>
        </is>
      </c>
      <c r="B8" s="63" t="n">
        <v>15</v>
      </c>
      <c r="C8" s="64" t="inlineStr">
        <is>
          <t>больше = лучше</t>
        </is>
      </c>
    </row>
    <row r="9" ht="15" customHeight="1" s="34">
      <c r="A9" s="62" t="inlineStr">
        <is>
          <t>Разлок за 6 мес</t>
        </is>
      </c>
      <c r="B9" s="63" t="n">
        <v>10</v>
      </c>
      <c r="C9" s="64" t="inlineStr">
        <is>
          <t>меньше = лучше</t>
        </is>
      </c>
    </row>
    <row r="10" ht="15" customHeight="1" s="34">
      <c r="A10" s="62" t="inlineStr">
        <is>
          <t>FDV / Mcap</t>
        </is>
      </c>
      <c r="B10" s="63" t="n">
        <v>10</v>
      </c>
      <c r="C10" s="64" t="inlineStr">
        <is>
          <t>меньше = лучше</t>
        </is>
      </c>
    </row>
    <row r="11" ht="15" customHeight="1" s="34">
      <c r="A11" s="62" t="inlineStr">
        <is>
          <t>Инвесторы и команда</t>
        </is>
      </c>
      <c r="B11" s="63" t="n">
        <v>10</v>
      </c>
      <c r="C11" s="64" t="inlineStr">
        <is>
          <t>больше = лучше</t>
        </is>
      </c>
    </row>
    <row r="12" ht="15" customHeight="1" s="34">
      <c r="A12" s="57" t="inlineStr">
        <is>
          <t>Сумма весов</t>
        </is>
      </c>
      <c r="B12" s="57">
        <f>SUM(B4:B11)</f>
        <v/>
      </c>
      <c r="C12" s="3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20" customWidth="1" style="33" min="2" max="2"/>
    <col width="42" customWidth="1" style="33" min="3" max="3"/>
  </cols>
  <sheetData>
    <row r="1" ht="17.35" customHeight="1" s="34">
      <c r="A1" s="60" t="inlineStr">
        <is>
          <t>Где брать цифры</t>
        </is>
      </c>
    </row>
    <row r="3" ht="15" customHeight="1" s="34">
      <c r="A3" s="65" t="inlineStr">
        <is>
          <t>Колонка</t>
        </is>
      </c>
      <c r="B3" s="65" t="inlineStr">
        <is>
          <t>Источник</t>
        </is>
      </c>
      <c r="C3" s="65" t="inlineStr">
        <is>
          <t>Ссылка</t>
        </is>
      </c>
    </row>
    <row r="4" ht="15" customHeight="1" s="34">
      <c r="A4" s="66" t="inlineStr">
        <is>
          <t>Капитализация, FDV</t>
        </is>
      </c>
      <c r="B4" s="66" t="inlineStr">
        <is>
          <t>CoinGecko</t>
        </is>
      </c>
      <c r="C4" s="67" t="inlineStr">
        <is>
          <t>https://www.coingecko.com/en/categories</t>
        </is>
      </c>
    </row>
    <row r="5" ht="15" customHeight="1" s="34">
      <c r="A5" s="66" t="inlineStr">
        <is>
          <t>TVL сейчас и 6 мес назад</t>
        </is>
      </c>
      <c r="B5" s="66" t="inlineStr">
        <is>
          <t>DeFiLlama → Chains</t>
        </is>
      </c>
      <c r="C5" s="67" t="inlineStr">
        <is>
          <t>https://defillama.com/chains</t>
        </is>
      </c>
    </row>
    <row r="6" ht="15" customHeight="1" s="34">
      <c r="A6" s="66" t="inlineStr">
        <is>
          <t>Активные адреса</t>
        </is>
      </c>
      <c r="B6" s="66" t="inlineStr">
        <is>
          <t>Artemis</t>
        </is>
      </c>
      <c r="C6" s="67" t="inlineStr">
        <is>
          <t>https://app.artemis.xyz</t>
        </is>
      </c>
    </row>
    <row r="7" ht="15" customHeight="1" s="34">
      <c r="A7" s="66" t="inlineStr">
        <is>
          <t>Доход / комиссии</t>
        </is>
      </c>
      <c r="B7" s="66" t="inlineStr">
        <is>
          <t>DeFiLlama Fees</t>
        </is>
      </c>
      <c r="C7" s="67" t="inlineStr">
        <is>
          <t>https://defillama.com/fees</t>
        </is>
      </c>
    </row>
    <row r="8" ht="15" customHeight="1" s="34">
      <c r="A8" s="66" t="inlineStr">
        <is>
          <t>Доход (альтернатива)</t>
        </is>
      </c>
      <c r="B8" s="66" t="inlineStr">
        <is>
          <t>Token Terminal</t>
        </is>
      </c>
      <c r="C8" s="67" t="inlineStr">
        <is>
          <t>https://tokenterminal.com</t>
        </is>
      </c>
    </row>
    <row r="9" ht="15" customHeight="1" s="34">
      <c r="A9" s="66" t="inlineStr">
        <is>
          <t>Разработчики</t>
        </is>
      </c>
      <c r="B9" s="66" t="inlineStr">
        <is>
          <t>Artemis</t>
        </is>
      </c>
      <c r="C9" s="67" t="inlineStr">
        <is>
          <t>https://app.artemis.xyz</t>
        </is>
      </c>
    </row>
    <row r="10" ht="15" customHeight="1" s="34">
      <c r="A10" s="66" t="inlineStr">
        <is>
          <t>Разлоки</t>
        </is>
      </c>
      <c r="B10" s="66" t="inlineStr">
        <is>
          <t>Tokenomist</t>
        </is>
      </c>
      <c r="C10" s="67" t="inlineStr">
        <is>
          <t>https://tokenomist.ai</t>
        </is>
      </c>
    </row>
    <row r="11" ht="15" customHeight="1" s="34">
      <c r="A11" s="66" t="inlineStr">
        <is>
          <t>Инвесторы, раунды</t>
        </is>
      </c>
      <c r="B11" s="66" t="inlineStr">
        <is>
          <t>CryptoRank</t>
        </is>
      </c>
      <c r="C11" s="67" t="inlineStr">
        <is>
          <t>https://cryptorank.io</t>
        </is>
      </c>
    </row>
    <row r="12" ht="15" customHeight="1" s="34">
      <c r="A12" s="66" t="inlineStr">
        <is>
          <t>Инвесторы, раунды</t>
        </is>
      </c>
      <c r="B12" s="66" t="inlineStr">
        <is>
          <t>DeFiLlama Raises</t>
        </is>
      </c>
      <c r="C12" s="67" t="inlineStr">
        <is>
          <t>https://defillama.com/raises</t>
        </is>
      </c>
    </row>
    <row r="13" ht="15" customHeight="1" s="34">
      <c r="A13" s="66" t="inlineStr">
        <is>
          <t>Метрики L2</t>
        </is>
      </c>
      <c r="B13" s="66" t="inlineStr">
        <is>
          <t>growthepie</t>
        </is>
      </c>
      <c r="C13" s="67" t="inlineStr">
        <is>
          <t>https://www.growthepie.xyz</t>
        </is>
      </c>
    </row>
    <row r="14" ht="15" customHeight="1" s="34">
      <c r="A14" s="66" t="inlineStr">
        <is>
          <t>Риски L2</t>
        </is>
      </c>
      <c r="B14" s="66" t="inlineStr">
        <is>
          <t>L2BEAT</t>
        </is>
      </c>
      <c r="C14" s="67" t="inlineStr">
        <is>
          <t>https://l2beat.com</t>
        </is>
      </c>
    </row>
    <row r="17" ht="15" customHeight="1" s="34">
      <c r="A17" s="68" t="inlineStr">
        <is>
          <t>Как пользоваться:</t>
        </is>
      </c>
    </row>
    <row r="18" ht="15" customHeight="1" s="34">
      <c r="A18" s="69" t="inlineStr">
        <is>
          <t>1. На листе «Сравнение» замени строки «Пример» своими сетями (до 10 штук).</t>
        </is>
      </c>
    </row>
    <row r="19" ht="15" customHeight="1" s="34">
      <c r="A19" s="69" t="inlineStr">
        <is>
          <t>2. Заполняй жёлтые ячейки. Пустые метрики просто не учитываются в балле.</t>
        </is>
      </c>
    </row>
    <row r="20" ht="15" customHeight="1" s="34">
      <c r="A20" s="69" t="inlineStr">
        <is>
          <t>3. Для балла нужно минимум 2 сети с данными по метрике.</t>
        </is>
      </c>
    </row>
    <row r="21" ht="15" customHeight="1" s="34">
      <c r="A21" s="69" t="inlineStr">
        <is>
          <t>4. Веса метрик меняй на листе «Веса».</t>
        </is>
      </c>
    </row>
    <row r="22" ht="15" customHeight="1" s="34">
      <c r="A22" s="69" t="inlineStr">
        <is>
          <t>5. Разлок вводи в процентах (3% = 3%), инвесторов — оценкой 1–5 по своему мнению.</t>
        </is>
      </c>
    </row>
    <row r="23" ht="15" customHeight="1" s="34">
      <c r="A23" s="69" t="inlineStr">
        <is>
          <t>Балл относительный и не является рекомендацией к покупке.</t>
        </is>
      </c>
    </row>
  </sheetData>
  <hyperlinks>
    <hyperlink xmlns:r="http://schemas.openxmlformats.org/officeDocument/2006/relationships" ref="C4" display="https://www.coingecko.com/en/categories" r:id="rId1"/>
    <hyperlink xmlns:r="http://schemas.openxmlformats.org/officeDocument/2006/relationships" ref="C5" display="https://defillama.com/chains" r:id="rId2"/>
    <hyperlink xmlns:r="http://schemas.openxmlformats.org/officeDocument/2006/relationships" ref="C6" display="https://app.artemis.xyz" r:id="rId3"/>
    <hyperlink xmlns:r="http://schemas.openxmlformats.org/officeDocument/2006/relationships" ref="C7" display="https://defillama.com/fees" r:id="rId4"/>
    <hyperlink xmlns:r="http://schemas.openxmlformats.org/officeDocument/2006/relationships" ref="C8" display="https://tokenterminal.com" r:id="rId5"/>
    <hyperlink xmlns:r="http://schemas.openxmlformats.org/officeDocument/2006/relationships" ref="C9" display="https://app.artemis.xyz" r:id="rId6"/>
    <hyperlink xmlns:r="http://schemas.openxmlformats.org/officeDocument/2006/relationships" ref="C10" display="https://tokenomist.ai" r:id="rId7"/>
    <hyperlink xmlns:r="http://schemas.openxmlformats.org/officeDocument/2006/relationships" ref="C11" display="https://cryptorank.io" r:id="rId8"/>
    <hyperlink xmlns:r="http://schemas.openxmlformats.org/officeDocument/2006/relationships" ref="C12" display="https://defillama.com/raises" r:id="rId9"/>
    <hyperlink xmlns:r="http://schemas.openxmlformats.org/officeDocument/2006/relationships" ref="C13" display="https://www.growthepie.xyz" r:id="rId10"/>
    <hyperlink xmlns:r="http://schemas.openxmlformats.org/officeDocument/2006/relationships" ref="C14" display="https://l2beat.com" r:id="rId1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34" customWidth="1" style="34" min="2" max="2"/>
    <col width="16" customWidth="1" style="34" min="3" max="3"/>
    <col width="26" customWidth="1" style="34" min="4" max="4"/>
    <col width="60" customWidth="1" style="34" min="5" max="5"/>
  </cols>
  <sheetData>
    <row r="1">
      <c r="A1" s="70" t="inlineStr">
        <is>
          <t>Откуда взята каждая цифра (сбор 30.09.2026)</t>
        </is>
      </c>
    </row>
    <row r="3">
      <c r="A3" s="71" t="inlineStr">
        <is>
          <t>Экосистема</t>
        </is>
      </c>
      <c r="B3" s="71" t="inlineStr">
        <is>
          <t>Метрика</t>
        </is>
      </c>
      <c r="C3" s="71" t="inlineStr">
        <is>
          <t>Значение</t>
        </is>
      </c>
      <c r="D3" s="71" t="inlineStr">
        <is>
          <t>Источник</t>
        </is>
      </c>
      <c r="E3" s="71" t="inlineStr">
        <is>
          <t>Комментарий</t>
        </is>
      </c>
    </row>
    <row r="4">
      <c r="A4" t="inlineStr">
        <is>
          <t>Arbitrum</t>
        </is>
      </c>
      <c r="B4" t="inlineStr">
        <is>
          <t>Капитализация, $ млн</t>
        </is>
      </c>
      <c r="C4" s="72" t="n">
        <v>1372.064196</v>
      </c>
      <c r="D4" t="inlineStr">
        <is>
          <t>CoinGecko</t>
        </is>
      </c>
      <c r="E4" t="inlineStr"/>
    </row>
    <row r="5">
      <c r="A5" t="inlineStr">
        <is>
          <t>Arbitrum</t>
        </is>
      </c>
      <c r="B5" t="inlineStr">
        <is>
          <t>FDV, $ млн</t>
        </is>
      </c>
      <c r="C5" s="72" t="n">
        <v>2022.030964</v>
      </c>
      <c r="D5" t="inlineStr">
        <is>
          <t>CoinGecko</t>
        </is>
      </c>
      <c r="E5" t="inlineStr"/>
    </row>
    <row r="6">
      <c r="A6" t="inlineStr">
        <is>
          <t>Arbitrum</t>
        </is>
      </c>
      <c r="B6" t="inlineStr">
        <is>
          <t>TVL сейчас, $ млн</t>
        </is>
      </c>
      <c r="C6" s="72" t="n">
        <v>1440.362091</v>
      </c>
      <c r="D6" t="inlineStr">
        <is>
          <t>DeFiLlama</t>
        </is>
      </c>
      <c r="E6" t="inlineStr">
        <is>
          <t>на 2026-09-30</t>
        </is>
      </c>
    </row>
    <row r="7">
      <c r="A7" t="inlineStr">
        <is>
          <t>Arbitrum</t>
        </is>
      </c>
      <c r="B7" t="inlineStr">
        <is>
          <t>TVL 6 мес назад, $ млн</t>
        </is>
      </c>
      <c r="C7" s="72" t="n">
        <v>1926.991061</v>
      </c>
      <c r="D7" t="inlineStr">
        <is>
          <t>DeFiLlama</t>
        </is>
      </c>
      <c r="E7" t="inlineStr">
        <is>
          <t>на 2026-04-01</t>
        </is>
      </c>
    </row>
    <row r="8">
      <c r="A8" t="inlineStr">
        <is>
          <t>Arbitrum</t>
        </is>
      </c>
      <c r="B8" t="inlineStr">
        <is>
          <t>Активные адреса/день сейчас</t>
        </is>
      </c>
      <c r="C8" s="72" t="n">
        <v>135118</v>
      </c>
      <c r="D8" t="inlineStr">
        <is>
          <t>Artemis</t>
        </is>
      </c>
      <c r="E8" t="inlineStr">
        <is>
          <t>медиана за 7 дн до 2026-09-29</t>
        </is>
      </c>
    </row>
    <row r="9">
      <c r="A9" t="inlineStr">
        <is>
          <t>Arbitrum</t>
        </is>
      </c>
      <c r="B9" t="inlineStr">
        <is>
          <t>Активные адреса/день 6 мес назад</t>
        </is>
      </c>
      <c r="C9" s="72" t="n">
        <v>161371</v>
      </c>
      <c r="D9" t="inlineStr">
        <is>
          <t>Artemis</t>
        </is>
      </c>
      <c r="E9" t="inlineStr">
        <is>
          <t>медиана за 7 дн до 2026-04-01</t>
        </is>
      </c>
    </row>
    <row r="10">
      <c r="A10" t="inlineStr">
        <is>
          <t>Arbitrum</t>
        </is>
      </c>
      <c r="B10" t="inlineStr">
        <is>
          <t>Доход/комиссии за год, $ млн</t>
        </is>
      </c>
      <c r="C10" s="72" t="n">
        <v>10.394479</v>
      </c>
      <c r="D10" t="inlineStr">
        <is>
          <t>DeFiLlama</t>
        </is>
      </c>
      <c r="E10" t="inlineStr">
        <is>
          <t>комиссии за 365 дн (Arbitrum)</t>
        </is>
      </c>
    </row>
    <row r="11">
      <c r="A11" s="73" t="inlineStr">
        <is>
          <t>Arbitrum</t>
        </is>
      </c>
      <c r="B11" s="73" t="inlineStr">
        <is>
          <t>Активных разработчиков/мес</t>
        </is>
      </c>
      <c r="C11" s="74" t="n"/>
      <c r="D11" s="73" t="inlineStr">
        <is>
          <t>нет данных — заполнить вручную</t>
        </is>
      </c>
      <c r="E11" s="73" t="inlineStr"/>
    </row>
    <row r="12">
      <c r="A12" s="73" t="inlineStr">
        <is>
          <t>Arbitrum</t>
        </is>
      </c>
      <c r="B12" s="73" t="inlineStr">
        <is>
          <t>Разлок за 6 мес, % предложения</t>
        </is>
      </c>
      <c r="C12" s="75" t="n"/>
      <c r="D12" s="73" t="inlineStr">
        <is>
          <t>нет данных — заполнить вручную</t>
        </is>
      </c>
      <c r="E12" s="73" t="inlineStr"/>
    </row>
    <row r="13">
      <c r="A13" s="73" t="inlineStr">
        <is>
          <t>Arbitrum</t>
        </is>
      </c>
      <c r="B13" s="73" t="inlineStr">
        <is>
          <t>Инвесторы и команда, 1–5</t>
        </is>
      </c>
      <c r="C13" s="74" t="n"/>
      <c r="D13" s="73" t="inlineStr">
        <is>
          <t>нет данных — заполнить вручную</t>
        </is>
      </c>
      <c r="E13" s="73" t="inlineStr"/>
    </row>
    <row r="14">
      <c r="A14" t="inlineStr">
        <is>
          <t>Optimism</t>
        </is>
      </c>
      <c r="B14" t="inlineStr">
        <is>
          <t>Капитализация, $ млн</t>
        </is>
      </c>
      <c r="C14" s="72" t="n">
        <v>299.601738</v>
      </c>
      <c r="D14" t="inlineStr">
        <is>
          <t>CoinGecko</t>
        </is>
      </c>
      <c r="E14" t="inlineStr"/>
    </row>
    <row r="15">
      <c r="A15" t="inlineStr">
        <is>
          <t>Optimism</t>
        </is>
      </c>
      <c r="B15" t="inlineStr">
        <is>
          <t>FDV, $ млн</t>
        </is>
      </c>
      <c r="C15" s="72" t="n">
        <v>559.56066</v>
      </c>
      <c r="D15" t="inlineStr">
        <is>
          <t>CoinGecko</t>
        </is>
      </c>
      <c r="E15" t="inlineStr"/>
    </row>
    <row r="16">
      <c r="A16" t="inlineStr">
        <is>
          <t>Optimism</t>
        </is>
      </c>
      <c r="B16" t="inlineStr">
        <is>
          <t>TVL сейчас, $ млн</t>
        </is>
      </c>
      <c r="C16" s="72" t="n">
        <v>488.953651</v>
      </c>
      <c r="D16" t="inlineStr">
        <is>
          <t>DeFiLlama</t>
        </is>
      </c>
      <c r="E16" t="inlineStr">
        <is>
          <t>на 2026-09-30</t>
        </is>
      </c>
    </row>
    <row r="17">
      <c r="A17" t="inlineStr">
        <is>
          <t>Optimism</t>
        </is>
      </c>
      <c r="B17" t="inlineStr">
        <is>
          <t>TVL 6 мес назад, $ млн</t>
        </is>
      </c>
      <c r="C17" s="72" t="n">
        <v>195.624571</v>
      </c>
      <c r="D17" t="inlineStr">
        <is>
          <t>DeFiLlama</t>
        </is>
      </c>
      <c r="E17" t="inlineStr">
        <is>
          <t>на 2026-04-01</t>
        </is>
      </c>
    </row>
    <row r="18">
      <c r="A18" t="inlineStr">
        <is>
          <t>Optimism</t>
        </is>
      </c>
      <c r="B18" t="inlineStr">
        <is>
          <t>Активные адреса/день сейчас</t>
        </is>
      </c>
      <c r="C18" s="72" t="n">
        <v>35710</v>
      </c>
      <c r="D18" t="inlineStr">
        <is>
          <t>Artemis</t>
        </is>
      </c>
      <c r="E18" t="inlineStr">
        <is>
          <t>медиана за 7 дн до 2026-09-29</t>
        </is>
      </c>
    </row>
    <row r="19">
      <c r="A19" t="inlineStr">
        <is>
          <t>Optimism</t>
        </is>
      </c>
      <c r="B19" t="inlineStr">
        <is>
          <t>Активные адреса/день 6 мес назад</t>
        </is>
      </c>
      <c r="C19" s="72" t="n">
        <v>18509</v>
      </c>
      <c r="D19" t="inlineStr">
        <is>
          <t>Artemis</t>
        </is>
      </c>
      <c r="E19" t="inlineStr">
        <is>
          <t>медиана за 7 дн до 2026-04-01</t>
        </is>
      </c>
    </row>
    <row r="20">
      <c r="A20" t="inlineStr">
        <is>
          <t>Optimism</t>
        </is>
      </c>
      <c r="B20" t="inlineStr">
        <is>
          <t>Доход/комиссии за год, $ млн</t>
        </is>
      </c>
      <c r="C20" s="72" t="n">
        <v>1.163975</v>
      </c>
      <c r="D20" t="inlineStr">
        <is>
          <t>DeFiLlama</t>
        </is>
      </c>
      <c r="E20" t="inlineStr">
        <is>
          <t>комиссии за 365 дн (OP Mainnet)</t>
        </is>
      </c>
    </row>
    <row r="21">
      <c r="A21" s="73" t="inlineStr">
        <is>
          <t>Optimism</t>
        </is>
      </c>
      <c r="B21" s="73" t="inlineStr">
        <is>
          <t>Активных разработчиков/мес</t>
        </is>
      </c>
      <c r="C21" s="74" t="n"/>
      <c r="D21" s="73" t="inlineStr">
        <is>
          <t>нет данных — заполнить вручную</t>
        </is>
      </c>
      <c r="E21" s="73" t="inlineStr"/>
    </row>
    <row r="22">
      <c r="A22" s="73" t="inlineStr">
        <is>
          <t>Optimism</t>
        </is>
      </c>
      <c r="B22" s="73" t="inlineStr">
        <is>
          <t>Разлок за 6 мес, % предложения</t>
        </is>
      </c>
      <c r="C22" s="75" t="n"/>
      <c r="D22" s="73" t="inlineStr">
        <is>
          <t>нет данных — заполнить вручную</t>
        </is>
      </c>
      <c r="E22" s="73" t="inlineStr"/>
    </row>
    <row r="23">
      <c r="A23" s="73" t="inlineStr">
        <is>
          <t>Optimism</t>
        </is>
      </c>
      <c r="B23" s="73" t="inlineStr">
        <is>
          <t>Инвесторы и команда, 1–5</t>
        </is>
      </c>
      <c r="C23" s="74" t="n"/>
      <c r="D23" s="73" t="inlineStr">
        <is>
          <t>нет данных — заполнить вручную</t>
        </is>
      </c>
      <c r="E23" s="73" t="inlineStr"/>
    </row>
    <row r="24">
      <c r="A24" s="73" t="inlineStr">
        <is>
          <t>Base</t>
        </is>
      </c>
      <c r="B24" s="73" t="inlineStr">
        <is>
          <t>Капитализация, $ млн</t>
        </is>
      </c>
      <c r="C24" s="74" t="n"/>
      <c r="D24" s="73" t="inlineStr">
        <is>
          <t>нет данных — заполнить вручную</t>
        </is>
      </c>
      <c r="E24" s="73" t="inlineStr"/>
    </row>
    <row r="25">
      <c r="A25" s="73" t="inlineStr">
        <is>
          <t>Base</t>
        </is>
      </c>
      <c r="B25" s="73" t="inlineStr">
        <is>
          <t>FDV, $ млн</t>
        </is>
      </c>
      <c r="C25" s="74" t="n"/>
      <c r="D25" s="73" t="inlineStr">
        <is>
          <t>нет данных — заполнить вручную</t>
        </is>
      </c>
      <c r="E25" s="73" t="inlineStr"/>
    </row>
    <row r="26">
      <c r="A26" t="inlineStr">
        <is>
          <t>Base</t>
        </is>
      </c>
      <c r="B26" t="inlineStr">
        <is>
          <t>TVL сейчас, $ млн</t>
        </is>
      </c>
      <c r="C26" s="72" t="n">
        <v>6361.888402</v>
      </c>
      <c r="D26" t="inlineStr">
        <is>
          <t>DeFiLlama</t>
        </is>
      </c>
      <c r="E26" t="inlineStr">
        <is>
          <t>на 2026-09-30</t>
        </is>
      </c>
    </row>
    <row r="27">
      <c r="A27" t="inlineStr">
        <is>
          <t>Base</t>
        </is>
      </c>
      <c r="B27" t="inlineStr">
        <is>
          <t>TVL 6 мес назад, $ млн</t>
        </is>
      </c>
      <c r="C27" s="72" t="n">
        <v>4057.366831</v>
      </c>
      <c r="D27" t="inlineStr">
        <is>
          <t>DeFiLlama</t>
        </is>
      </c>
      <c r="E27" t="inlineStr">
        <is>
          <t>на 2026-04-01</t>
        </is>
      </c>
    </row>
    <row r="28">
      <c r="A28" t="inlineStr">
        <is>
          <t>Base</t>
        </is>
      </c>
      <c r="B28" t="inlineStr">
        <is>
          <t>Активные адреса/день сейчас</t>
        </is>
      </c>
      <c r="C28" s="72" t="n">
        <v>308996</v>
      </c>
      <c r="D28" t="inlineStr">
        <is>
          <t>Artemis</t>
        </is>
      </c>
      <c r="E28" t="inlineStr">
        <is>
          <t>медиана за 7 дн до 2026-09-29</t>
        </is>
      </c>
    </row>
    <row r="29">
      <c r="A29" t="inlineStr">
        <is>
          <t>Base</t>
        </is>
      </c>
      <c r="B29" t="inlineStr">
        <is>
          <t>Активные адреса/день 6 мес назад</t>
        </is>
      </c>
      <c r="C29" s="72" t="n">
        <v>424000</v>
      </c>
      <c r="D29" t="inlineStr">
        <is>
          <t>Artemis</t>
        </is>
      </c>
      <c r="E29" t="inlineStr">
        <is>
          <t>медиана за 7 дн до 2026-04-01</t>
        </is>
      </c>
    </row>
    <row r="30">
      <c r="A30" t="inlineStr">
        <is>
          <t>Base</t>
        </is>
      </c>
      <c r="B30" t="inlineStr">
        <is>
          <t>Доход/комиссии за год, $ млн</t>
        </is>
      </c>
      <c r="C30" s="72" t="n">
        <v>56.624755</v>
      </c>
      <c r="D30" t="inlineStr">
        <is>
          <t>DeFiLlama</t>
        </is>
      </c>
      <c r="E30" t="inlineStr">
        <is>
          <t>комиссии за 365 дн (Base)</t>
        </is>
      </c>
    </row>
    <row r="31">
      <c r="A31" s="73" t="inlineStr">
        <is>
          <t>Base</t>
        </is>
      </c>
      <c r="B31" s="73" t="inlineStr">
        <is>
          <t>Активных разработчиков/мес</t>
        </is>
      </c>
      <c r="C31" s="74" t="n"/>
      <c r="D31" s="73" t="inlineStr">
        <is>
          <t>нет данных — заполнить вручную</t>
        </is>
      </c>
      <c r="E31" s="73" t="inlineStr"/>
    </row>
    <row r="32">
      <c r="A32" s="73" t="inlineStr">
        <is>
          <t>Base</t>
        </is>
      </c>
      <c r="B32" s="73" t="inlineStr">
        <is>
          <t>Разлок за 6 мес, % предложения</t>
        </is>
      </c>
      <c r="C32" s="75" t="n"/>
      <c r="D32" s="73" t="inlineStr">
        <is>
          <t>нет данных — заполнить вручную</t>
        </is>
      </c>
      <c r="E32" s="73" t="inlineStr"/>
    </row>
    <row r="33">
      <c r="A33" s="73" t="inlineStr">
        <is>
          <t>Base</t>
        </is>
      </c>
      <c r="B33" s="73" t="inlineStr">
        <is>
          <t>Инвесторы и команда, 1–5</t>
        </is>
      </c>
      <c r="C33" s="74" t="n"/>
      <c r="D33" s="73" t="inlineStr">
        <is>
          <t>нет данных — заполнить вручную</t>
        </is>
      </c>
      <c r="E33" s="73" t="inlineStr"/>
    </row>
    <row r="34">
      <c r="A34" t="inlineStr">
        <is>
          <t>Mantle</t>
        </is>
      </c>
      <c r="B34" t="inlineStr">
        <is>
          <t>Капитализация, $ млн</t>
        </is>
      </c>
      <c r="C34" s="72" t="n">
        <v>2303.632024</v>
      </c>
      <c r="D34" t="inlineStr">
        <is>
          <t>CoinGecko</t>
        </is>
      </c>
      <c r="E34" t="inlineStr"/>
    </row>
    <row r="35">
      <c r="A35" t="inlineStr">
        <is>
          <t>Mantle</t>
        </is>
      </c>
      <c r="B35" t="inlineStr">
        <is>
          <t>FDV, $ млн</t>
        </is>
      </c>
      <c r="C35" s="72" t="n">
        <v>4338.503984</v>
      </c>
      <c r="D35" t="inlineStr">
        <is>
          <t>CoinGecko</t>
        </is>
      </c>
      <c r="E35" t="inlineStr"/>
    </row>
    <row r="36">
      <c r="A36" t="inlineStr">
        <is>
          <t>Mantle</t>
        </is>
      </c>
      <c r="B36" t="inlineStr">
        <is>
          <t>TVL сейчас, $ млн</t>
        </is>
      </c>
      <c r="C36" s="72" t="n">
        <v>105.989362</v>
      </c>
      <c r="D36" t="inlineStr">
        <is>
          <t>DeFiLlama</t>
        </is>
      </c>
      <c r="E36" t="inlineStr">
        <is>
          <t>на 2026-09-30</t>
        </is>
      </c>
    </row>
    <row r="37">
      <c r="A37" t="inlineStr">
        <is>
          <t>Mantle</t>
        </is>
      </c>
      <c r="B37" t="inlineStr">
        <is>
          <t>TVL 6 мес назад, $ млн</t>
        </is>
      </c>
      <c r="C37" s="72" t="n">
        <v>653.480331</v>
      </c>
      <c r="D37" t="inlineStr">
        <is>
          <t>DeFiLlama</t>
        </is>
      </c>
      <c r="E37" t="inlineStr">
        <is>
          <t>на 2026-04-01</t>
        </is>
      </c>
    </row>
    <row r="38">
      <c r="A38" t="inlineStr">
        <is>
          <t>Mantle</t>
        </is>
      </c>
      <c r="B38" t="inlineStr">
        <is>
          <t>Активные адреса/день сейчас</t>
        </is>
      </c>
      <c r="C38" s="72" t="n">
        <v>1300</v>
      </c>
      <c r="D38" t="inlineStr">
        <is>
          <t>Artemis</t>
        </is>
      </c>
      <c r="E38" t="inlineStr">
        <is>
          <t>медиана за 7 дн до 2026-09-29</t>
        </is>
      </c>
    </row>
    <row r="39">
      <c r="A39" t="inlineStr">
        <is>
          <t>Mantle</t>
        </is>
      </c>
      <c r="B39" t="inlineStr">
        <is>
          <t>Активные адреса/день 6 мес назад</t>
        </is>
      </c>
      <c r="C39" s="72" t="n">
        <v>1499</v>
      </c>
      <c r="D39" t="inlineStr">
        <is>
          <t>Artemis</t>
        </is>
      </c>
      <c r="E39" t="inlineStr">
        <is>
          <t>медиана за 7 дн до 2026-04-01</t>
        </is>
      </c>
    </row>
    <row r="40">
      <c r="A40" t="inlineStr">
        <is>
          <t>Mantle</t>
        </is>
      </c>
      <c r="B40" t="inlineStr">
        <is>
          <t>Доход/комиссии за год, $ млн</t>
        </is>
      </c>
      <c r="C40" s="72" t="n">
        <v>0.252569</v>
      </c>
      <c r="D40" t="inlineStr">
        <is>
          <t>DeFiLlama</t>
        </is>
      </c>
      <c r="E40" t="inlineStr">
        <is>
          <t>комиссии за 365 дн (Mantle)</t>
        </is>
      </c>
    </row>
    <row r="41">
      <c r="A41" s="73" t="inlineStr">
        <is>
          <t>Mantle</t>
        </is>
      </c>
      <c r="B41" s="73" t="inlineStr">
        <is>
          <t>Активных разработчиков/мес</t>
        </is>
      </c>
      <c r="C41" s="74" t="n"/>
      <c r="D41" s="73" t="inlineStr">
        <is>
          <t>нет данных — заполнить вручную</t>
        </is>
      </c>
      <c r="E41" s="73" t="inlineStr"/>
    </row>
    <row r="42">
      <c r="A42" s="73" t="inlineStr">
        <is>
          <t>Mantle</t>
        </is>
      </c>
      <c r="B42" s="73" t="inlineStr">
        <is>
          <t>Разлок за 6 мес, % предложения</t>
        </is>
      </c>
      <c r="C42" s="75" t="n"/>
      <c r="D42" s="73" t="inlineStr">
        <is>
          <t>нет данных — заполнить вручную</t>
        </is>
      </c>
      <c r="E42" s="73" t="inlineStr"/>
    </row>
    <row r="43">
      <c r="A43" s="73" t="inlineStr">
        <is>
          <t>Mantle</t>
        </is>
      </c>
      <c r="B43" s="73" t="inlineStr">
        <is>
          <t>Инвесторы и команда, 1–5</t>
        </is>
      </c>
      <c r="C43" s="74" t="n"/>
      <c r="D43" s="73" t="inlineStr">
        <is>
          <t>нет данных — заполнить вручную</t>
        </is>
      </c>
      <c r="E43" s="73" t="inlineStr"/>
    </row>
    <row r="44">
      <c r="A44" t="inlineStr">
        <is>
          <t>Starknet</t>
        </is>
      </c>
      <c r="B44" t="inlineStr">
        <is>
          <t>Капитализация, $ млн</t>
        </is>
      </c>
      <c r="C44" s="72" t="n">
        <v>303.738166</v>
      </c>
      <c r="D44" t="inlineStr">
        <is>
          <t>CoinGecko</t>
        </is>
      </c>
      <c r="E44" t="inlineStr"/>
    </row>
    <row r="45">
      <c r="A45" t="inlineStr">
        <is>
          <t>Starknet</t>
        </is>
      </c>
      <c r="B45" t="inlineStr">
        <is>
          <t>FDV, $ млн</t>
        </is>
      </c>
      <c r="C45" s="72" t="n">
        <v>413.21516</v>
      </c>
      <c r="D45" t="inlineStr">
        <is>
          <t>CoinGecko</t>
        </is>
      </c>
      <c r="E45" t="inlineStr"/>
    </row>
    <row r="46">
      <c r="A46" t="inlineStr">
        <is>
          <t>Starknet</t>
        </is>
      </c>
      <c r="B46" t="inlineStr">
        <is>
          <t>TVL сейчас, $ млн</t>
        </is>
      </c>
      <c r="C46" s="72" t="n">
        <v>156.177773</v>
      </c>
      <c r="D46" t="inlineStr">
        <is>
          <t>DeFiLlama</t>
        </is>
      </c>
      <c r="E46" t="inlineStr">
        <is>
          <t>на 2026-09-30</t>
        </is>
      </c>
    </row>
    <row r="47">
      <c r="A47" t="inlineStr">
        <is>
          <t>Starknet</t>
        </is>
      </c>
      <c r="B47" t="inlineStr">
        <is>
          <t>TVL 6 мес назад, $ млн</t>
        </is>
      </c>
      <c r="C47" s="72" t="n">
        <v>246.803376</v>
      </c>
      <c r="D47" t="inlineStr">
        <is>
          <t>DeFiLlama</t>
        </is>
      </c>
      <c r="E47" t="inlineStr">
        <is>
          <t>на 2026-04-01</t>
        </is>
      </c>
    </row>
    <row r="48">
      <c r="A48" s="76" t="inlineStr">
        <is>
          <t>Starknet</t>
        </is>
      </c>
      <c r="B48" s="76" t="inlineStr">
        <is>
          <t>Активные адреса/день сейчас</t>
        </is>
      </c>
      <c r="C48" s="77" t="n">
        <v>2613</v>
      </c>
      <c r="D48" s="76" t="inlineStr">
        <is>
          <t>Artemis</t>
        </is>
      </c>
      <c r="E48" s="76" t="inlineStr">
        <is>
          <t>медиана за 7 дн до 2026-09-29. ⚠ ступенька в данных около 2026-08-03: медиана 14,768 → 1,956 за неделю — возможна смена методики источника, проверь вручную</t>
        </is>
      </c>
    </row>
    <row r="49">
      <c r="A49" s="76" t="inlineStr">
        <is>
          <t>Starknet</t>
        </is>
      </c>
      <c r="B49" s="76" t="inlineStr">
        <is>
          <t>Активные адреса/день 6 мес назад</t>
        </is>
      </c>
      <c r="C49" s="77" t="n">
        <v>46550</v>
      </c>
      <c r="D49" s="76" t="inlineStr">
        <is>
          <t>Artemis</t>
        </is>
      </c>
      <c r="E49" s="76" t="inlineStr">
        <is>
          <t>медиана за 7 дн до 2026-04-01. ⚠ ступенька в данных около 2026-08-03: медиана 14,768 → 1,956 за неделю — возможна смена методики источника, проверь вручную</t>
        </is>
      </c>
    </row>
    <row r="50">
      <c r="A50" t="inlineStr">
        <is>
          <t>Starknet</t>
        </is>
      </c>
      <c r="B50" t="inlineStr">
        <is>
          <t>Доход/комиссии за год, $ млн</t>
        </is>
      </c>
      <c r="C50" s="72" t="n">
        <v>1.990909</v>
      </c>
      <c r="D50" t="inlineStr">
        <is>
          <t>DeFiLlama</t>
        </is>
      </c>
      <c r="E50" t="inlineStr">
        <is>
          <t>комиссии за 365 дн (Starknet)</t>
        </is>
      </c>
    </row>
    <row r="51">
      <c r="A51" s="73" t="inlineStr">
        <is>
          <t>Starknet</t>
        </is>
      </c>
      <c r="B51" s="73" t="inlineStr">
        <is>
          <t>Активных разработчиков/мес</t>
        </is>
      </c>
      <c r="C51" s="74" t="n"/>
      <c r="D51" s="73" t="inlineStr">
        <is>
          <t>нет данных — заполнить вручную</t>
        </is>
      </c>
      <c r="E51" s="73" t="inlineStr"/>
    </row>
    <row r="52">
      <c r="A52" s="73" t="inlineStr">
        <is>
          <t>Starknet</t>
        </is>
      </c>
      <c r="B52" s="73" t="inlineStr">
        <is>
          <t>Разлок за 6 мес, % предложения</t>
        </is>
      </c>
      <c r="C52" s="75" t="n"/>
      <c r="D52" s="73" t="inlineStr">
        <is>
          <t>нет данных — заполнить вручную</t>
        </is>
      </c>
      <c r="E52" s="73" t="inlineStr"/>
    </row>
    <row r="53">
      <c r="A53" s="73" t="inlineStr">
        <is>
          <t>Starknet</t>
        </is>
      </c>
      <c r="B53" s="73" t="inlineStr">
        <is>
          <t>Инвесторы и команда, 1–5</t>
        </is>
      </c>
      <c r="C53" s="74" t="n"/>
      <c r="D53" s="73" t="inlineStr">
        <is>
          <t>нет данных — заполнить вручную</t>
        </is>
      </c>
      <c r="E53" s="73" t="inlineStr"/>
    </row>
    <row r="54">
      <c r="A54" t="inlineStr">
        <is>
          <t>ZKsync</t>
        </is>
      </c>
      <c r="B54" t="inlineStr">
        <is>
          <t>Капитализация, $ млн</t>
        </is>
      </c>
      <c r="C54" s="72" t="n">
        <v>131.74708</v>
      </c>
      <c r="D54" t="inlineStr">
        <is>
          <t>CoinGecko</t>
        </is>
      </c>
      <c r="E54" t="inlineStr"/>
    </row>
    <row r="55">
      <c r="A55" t="inlineStr">
        <is>
          <t>ZKsync</t>
        </is>
      </c>
      <c r="B55" t="inlineStr">
        <is>
          <t>FDV, $ млн</t>
        </is>
      </c>
      <c r="C55" s="72" t="n">
        <v>255.783171</v>
      </c>
      <c r="D55" t="inlineStr">
        <is>
          <t>CoinGecko</t>
        </is>
      </c>
      <c r="E55" t="inlineStr"/>
    </row>
    <row r="56">
      <c r="A56" t="inlineStr">
        <is>
          <t>ZKsync</t>
        </is>
      </c>
      <c r="B56" t="inlineStr">
        <is>
          <t>TVL сейчас, $ млн</t>
        </is>
      </c>
      <c r="C56" s="72" t="n">
        <v>15.90072</v>
      </c>
      <c r="D56" t="inlineStr">
        <is>
          <t>DeFiLlama</t>
        </is>
      </c>
      <c r="E56" t="inlineStr">
        <is>
          <t>на 2026-09-30</t>
        </is>
      </c>
    </row>
    <row r="57">
      <c r="A57" t="inlineStr">
        <is>
          <t>ZKsync</t>
        </is>
      </c>
      <c r="B57" t="inlineStr">
        <is>
          <t>TVL 6 мес назад, $ млн</t>
        </is>
      </c>
      <c r="C57" s="72" t="n">
        <v>22.377373</v>
      </c>
      <c r="D57" t="inlineStr">
        <is>
          <t>DeFiLlama</t>
        </is>
      </c>
      <c r="E57" t="inlineStr">
        <is>
          <t>на 2026-04-01</t>
        </is>
      </c>
    </row>
    <row r="58">
      <c r="A58" t="inlineStr">
        <is>
          <t>ZKsync</t>
        </is>
      </c>
      <c r="B58" t="inlineStr">
        <is>
          <t>Активные адреса/день сейчас</t>
        </is>
      </c>
      <c r="C58" s="72" t="n">
        <v>2701</v>
      </c>
      <c r="D58" t="inlineStr">
        <is>
          <t>Artemis</t>
        </is>
      </c>
      <c r="E58" t="inlineStr">
        <is>
          <t>медиана за 7 дн до 2026-09-29</t>
        </is>
      </c>
    </row>
    <row r="59">
      <c r="A59" t="inlineStr">
        <is>
          <t>ZKsync</t>
        </is>
      </c>
      <c r="B59" t="inlineStr">
        <is>
          <t>Активные адреса/день 6 мес назад</t>
        </is>
      </c>
      <c r="C59" s="72" t="n">
        <v>3387</v>
      </c>
      <c r="D59" t="inlineStr">
        <is>
          <t>Artemis</t>
        </is>
      </c>
      <c r="E59" t="inlineStr">
        <is>
          <t>медиана за 7 дн до 2026-04-01</t>
        </is>
      </c>
    </row>
    <row r="60">
      <c r="A60" t="inlineStr">
        <is>
          <t>ZKsync</t>
        </is>
      </c>
      <c r="B60" t="inlineStr">
        <is>
          <t>Доход/комиссии за год, $ млн</t>
        </is>
      </c>
      <c r="C60" s="72" t="n">
        <v>0.498537</v>
      </c>
      <c r="D60" t="inlineStr">
        <is>
          <t>DeFiLlama</t>
        </is>
      </c>
      <c r="E60" t="inlineStr">
        <is>
          <t>комиссии за 365 дн (ZKsync Era)</t>
        </is>
      </c>
    </row>
    <row r="61">
      <c r="A61" s="73" t="inlineStr">
        <is>
          <t>ZKsync</t>
        </is>
      </c>
      <c r="B61" s="73" t="inlineStr">
        <is>
          <t>Активных разработчиков/мес</t>
        </is>
      </c>
      <c r="C61" s="74" t="n"/>
      <c r="D61" s="73" t="inlineStr">
        <is>
          <t>нет данных — заполнить вручную</t>
        </is>
      </c>
      <c r="E61" s="73" t="inlineStr"/>
    </row>
    <row r="62">
      <c r="A62" s="73" t="inlineStr">
        <is>
          <t>ZKsync</t>
        </is>
      </c>
      <c r="B62" s="73" t="inlineStr">
        <is>
          <t>Разлок за 6 мес, % предложения</t>
        </is>
      </c>
      <c r="C62" s="75" t="n"/>
      <c r="D62" s="73" t="inlineStr">
        <is>
          <t>нет данных — заполнить вручную</t>
        </is>
      </c>
      <c r="E62" s="73" t="inlineStr"/>
    </row>
    <row r="63">
      <c r="A63" s="73" t="inlineStr">
        <is>
          <t>ZKsync</t>
        </is>
      </c>
      <c r="B63" s="73" t="inlineStr">
        <is>
          <t>Инвесторы и команда, 1–5</t>
        </is>
      </c>
      <c r="C63" s="74" t="n"/>
      <c r="D63" s="73" t="inlineStr">
        <is>
          <t>нет данных — заполнить вручную</t>
        </is>
      </c>
      <c r="E63" s="73" t="inlineStr"/>
    </row>
    <row r="64">
      <c r="A64" t="inlineStr">
        <is>
          <t>Linea</t>
        </is>
      </c>
      <c r="B64" t="inlineStr">
        <is>
          <t>Капитализация, $ млн</t>
        </is>
      </c>
      <c r="C64" s="72" t="n">
        <v>72.124611</v>
      </c>
      <c r="D64" t="inlineStr">
        <is>
          <t>CoinGecko</t>
        </is>
      </c>
      <c r="E64" t="inlineStr"/>
    </row>
    <row r="65">
      <c r="A65" t="inlineStr">
        <is>
          <t>Linea</t>
        </is>
      </c>
      <c r="B65" t="inlineStr">
        <is>
          <t>FDV, $ млн</t>
        </is>
      </c>
      <c r="C65" s="72" t="n">
        <v>210.529409</v>
      </c>
      <c r="D65" t="inlineStr">
        <is>
          <t>CoinGecko</t>
        </is>
      </c>
      <c r="E65" t="inlineStr"/>
    </row>
    <row r="66">
      <c r="A66" t="inlineStr">
        <is>
          <t>Linea</t>
        </is>
      </c>
      <c r="B66" t="inlineStr">
        <is>
          <t>TVL сейчас, $ млн</t>
        </is>
      </c>
      <c r="C66" s="72" t="n">
        <v>26.660603</v>
      </c>
      <c r="D66" t="inlineStr">
        <is>
          <t>DeFiLlama</t>
        </is>
      </c>
      <c r="E66" t="inlineStr">
        <is>
          <t>на 2026-09-30</t>
        </is>
      </c>
    </row>
    <row r="67">
      <c r="A67" t="inlineStr">
        <is>
          <t>Linea</t>
        </is>
      </c>
      <c r="B67" t="inlineStr">
        <is>
          <t>TVL 6 мес назад, $ млн</t>
        </is>
      </c>
      <c r="C67" s="72" t="n">
        <v>92.46676100000001</v>
      </c>
      <c r="D67" t="inlineStr">
        <is>
          <t>DeFiLlama</t>
        </is>
      </c>
      <c r="E67" t="inlineStr">
        <is>
          <t>на 2026-04-01</t>
        </is>
      </c>
    </row>
    <row r="68">
      <c r="A68" t="inlineStr">
        <is>
          <t>Linea</t>
        </is>
      </c>
      <c r="B68" t="inlineStr">
        <is>
          <t>Активные адреса/день сейчас</t>
        </is>
      </c>
      <c r="C68" s="72" t="n">
        <v>3226</v>
      </c>
      <c r="D68" t="inlineStr">
        <is>
          <t>Artemis</t>
        </is>
      </c>
      <c r="E68" t="inlineStr">
        <is>
          <t>медиана за 7 дн до 2026-09-29</t>
        </is>
      </c>
    </row>
    <row r="69">
      <c r="A69" t="inlineStr">
        <is>
          <t>Linea</t>
        </is>
      </c>
      <c r="B69" t="inlineStr">
        <is>
          <t>Активные адреса/день 6 мес назад</t>
        </is>
      </c>
      <c r="C69" s="72" t="n">
        <v>5470</v>
      </c>
      <c r="D69" t="inlineStr">
        <is>
          <t>Artemis</t>
        </is>
      </c>
      <c r="E69" t="inlineStr">
        <is>
          <t>медиана за 7 дн до 2026-04-01</t>
        </is>
      </c>
    </row>
    <row r="70">
      <c r="A70" t="inlineStr">
        <is>
          <t>Linea</t>
        </is>
      </c>
      <c r="B70" t="inlineStr">
        <is>
          <t>Доход/комиссии за год, $ млн</t>
        </is>
      </c>
      <c r="C70" s="72" t="n">
        <v>1.347858</v>
      </c>
      <c r="D70" t="inlineStr">
        <is>
          <t>DeFiLlama</t>
        </is>
      </c>
      <c r="E70" t="inlineStr">
        <is>
          <t>комиссии за 365 дн (Linea)</t>
        </is>
      </c>
    </row>
    <row r="71">
      <c r="A71" s="73" t="inlineStr">
        <is>
          <t>Linea</t>
        </is>
      </c>
      <c r="B71" s="73" t="inlineStr">
        <is>
          <t>Активных разработчиков/мес</t>
        </is>
      </c>
      <c r="C71" s="74" t="n"/>
      <c r="D71" s="73" t="inlineStr">
        <is>
          <t>нет данных — заполнить вручную</t>
        </is>
      </c>
      <c r="E71" s="73" t="inlineStr"/>
    </row>
    <row r="72">
      <c r="A72" s="73" t="inlineStr">
        <is>
          <t>Linea</t>
        </is>
      </c>
      <c r="B72" s="73" t="inlineStr">
        <is>
          <t>Разлок за 6 мес, % предложения</t>
        </is>
      </c>
      <c r="C72" s="75" t="n"/>
      <c r="D72" s="73" t="inlineStr">
        <is>
          <t>нет данных — заполнить вручную</t>
        </is>
      </c>
      <c r="E72" s="73" t="inlineStr"/>
    </row>
    <row r="73">
      <c r="A73" s="73" t="inlineStr">
        <is>
          <t>Linea</t>
        </is>
      </c>
      <c r="B73" s="73" t="inlineStr">
        <is>
          <t>Инвесторы и команда, 1–5</t>
        </is>
      </c>
      <c r="C73" s="74" t="n"/>
      <c r="D73" s="73" t="inlineStr">
        <is>
          <t>нет данных — заполнить вручную</t>
        </is>
      </c>
      <c r="E73" s="73" t="inlineStr"/>
    </row>
    <row r="74">
      <c r="A74" t="inlineStr">
        <is>
          <t>Scroll</t>
        </is>
      </c>
      <c r="B74" t="inlineStr">
        <is>
          <t>Капитализация, $ млн</t>
        </is>
      </c>
      <c r="C74" s="72" t="n">
        <v>4.688116</v>
      </c>
      <c r="D74" t="inlineStr">
        <is>
          <t>CoinGecko</t>
        </is>
      </c>
      <c r="E74" t="inlineStr"/>
    </row>
    <row r="75">
      <c r="A75" t="inlineStr">
        <is>
          <t>Scroll</t>
        </is>
      </c>
      <c r="B75" t="inlineStr">
        <is>
          <t>FDV, $ млн</t>
        </is>
      </c>
      <c r="C75" s="72" t="n">
        <v>24.674296</v>
      </c>
      <c r="D75" t="inlineStr">
        <is>
          <t>CoinGecko</t>
        </is>
      </c>
      <c r="E75" t="inlineStr"/>
    </row>
    <row r="76">
      <c r="A76" s="76" t="inlineStr">
        <is>
          <t>Scroll</t>
        </is>
      </c>
      <c r="B76" s="76" t="inlineStr">
        <is>
          <t>TVL сейчас, $ млн</t>
        </is>
      </c>
      <c r="C76" s="77" t="n">
        <v>9.206047</v>
      </c>
      <c r="D76" s="76" t="inlineStr">
        <is>
          <t>DeFiLlama</t>
        </is>
      </c>
      <c r="E76" s="76" t="inlineStr">
        <is>
          <t>на 2026-09-30. ⚠ изменение за 6 мес больше чем в 10 раз — проверь, реально ли это</t>
        </is>
      </c>
    </row>
    <row r="77">
      <c r="A77" t="inlineStr">
        <is>
          <t>Scroll</t>
        </is>
      </c>
      <c r="B77" t="inlineStr">
        <is>
          <t>TVL 6 мес назад, $ млн</t>
        </is>
      </c>
      <c r="C77" s="72" t="n">
        <v>228.115291</v>
      </c>
      <c r="D77" t="inlineStr">
        <is>
          <t>DeFiLlama</t>
        </is>
      </c>
      <c r="E77" t="inlineStr">
        <is>
          <t>на 2026-04-01</t>
        </is>
      </c>
    </row>
    <row r="78">
      <c r="A78" t="inlineStr">
        <is>
          <t>Scroll</t>
        </is>
      </c>
      <c r="B78" t="inlineStr">
        <is>
          <t>Активные адреса/день сейчас</t>
        </is>
      </c>
      <c r="C78" s="72" t="n">
        <v>2640</v>
      </c>
      <c r="D78" t="inlineStr">
        <is>
          <t>Artemis</t>
        </is>
      </c>
      <c r="E78" t="inlineStr">
        <is>
          <t>медиана за 7 дн до 2026-05-26</t>
        </is>
      </c>
    </row>
    <row r="79">
      <c r="A79" t="inlineStr">
        <is>
          <t>Scroll</t>
        </is>
      </c>
      <c r="B79" t="inlineStr">
        <is>
          <t>Активные адреса/день 6 мес назад</t>
        </is>
      </c>
      <c r="C79" s="72" t="n">
        <v>2662</v>
      </c>
      <c r="D79" t="inlineStr">
        <is>
          <t>Artemis</t>
        </is>
      </c>
      <c r="E79" t="inlineStr">
        <is>
          <t>медиана за 7 дн до 2026-04-01</t>
        </is>
      </c>
    </row>
    <row r="80">
      <c r="A80" t="inlineStr">
        <is>
          <t>Scroll</t>
        </is>
      </c>
      <c r="B80" t="inlineStr">
        <is>
          <t>Доход/комиссии за год, $ млн</t>
        </is>
      </c>
      <c r="C80" s="72" t="n">
        <v>0.24804621</v>
      </c>
      <c r="D80" t="inlineStr">
        <is>
          <t>DeFiLlama</t>
        </is>
      </c>
      <c r="E80" t="inlineStr">
        <is>
          <t>комиссии за 365 дн (Scroll)</t>
        </is>
      </c>
    </row>
    <row r="81">
      <c r="A81" s="73" t="inlineStr">
        <is>
          <t>Scroll</t>
        </is>
      </c>
      <c r="B81" s="73" t="inlineStr">
        <is>
          <t>Активных разработчиков/мес</t>
        </is>
      </c>
      <c r="C81" s="74" t="n"/>
      <c r="D81" s="73" t="inlineStr">
        <is>
          <t>нет данных — заполнить вручную</t>
        </is>
      </c>
      <c r="E81" s="73" t="inlineStr"/>
    </row>
    <row r="82">
      <c r="A82" s="73" t="inlineStr">
        <is>
          <t>Scroll</t>
        </is>
      </c>
      <c r="B82" s="73" t="inlineStr">
        <is>
          <t>Разлок за 6 мес, % предложения</t>
        </is>
      </c>
      <c r="C82" s="75" t="n"/>
      <c r="D82" s="73" t="inlineStr">
        <is>
          <t>нет данных — заполнить вручную</t>
        </is>
      </c>
      <c r="E82" s="73" t="inlineStr"/>
    </row>
    <row r="83">
      <c r="A83" s="73" t="inlineStr">
        <is>
          <t>Scroll</t>
        </is>
      </c>
      <c r="B83" s="73" t="inlineStr">
        <is>
          <t>Инвесторы и команда, 1–5</t>
        </is>
      </c>
      <c r="C83" s="74" t="n"/>
      <c r="D83" s="73" t="inlineStr">
        <is>
          <t>нет данных — заполнить вручную</t>
        </is>
      </c>
      <c r="E83" s="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2026-09-26T17:36:27Z</dcterms:created>
  <dcterms:modified xsi:type="dcterms:W3CDTF">2026-09-30T14:59:23Z</dcterms:modified>
  <cp:revision>0</cp:revision>
</cp:coreProperties>
</file>