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равнение" sheetId="1" state="visible" r:id="rId3"/>
    <sheet name="Расчёт" sheetId="2" state="visible" r:id="rId4"/>
    <sheet name="Веса" sheetId="3" state="visible" r:id="rId5"/>
    <sheet name="Инструкция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<sst xmlns="http://schemas.openxmlformats.org/spreadsheetml/2006/main" count="110" uniqueCount="86">
  <si>
    <t xml:space="preserve">Сравнение крипто-экосистем</t>
  </si>
  <si>
    <t xml:space="preserve">Жёлтые ячейки — вводишь сам. Зелёные колонки считаются автоматически. Строки «Пример» замени своими данными.</t>
  </si>
  <si>
    <t xml:space="preserve">ВВОД ДАННЫХ</t>
  </si>
  <si>
    <t xml:space="preserve">≥10% подсвечивается красным</t>
  </si>
  <si>
    <t xml:space="preserve">РАСЧЁТ (не трогать)</t>
  </si>
  <si>
    <t xml:space="preserve">Экосистема</t>
  </si>
  <si>
    <t xml:space="preserve">Категория</t>
  </si>
  <si>
    <t xml:space="preserve">Капитализация, $ млн</t>
  </si>
  <si>
    <t xml:space="preserve">FDV, $ млн</t>
  </si>
  <si>
    <t xml:space="preserve">TVL сейчас, $ млн</t>
  </si>
  <si>
    <t xml:space="preserve">TVL 6 мес назад, $ млн</t>
  </si>
  <si>
    <t xml:space="preserve">Активные адреса/день сейчас</t>
  </si>
  <si>
    <t xml:space="preserve">Активные адреса/день 6 мес назад</t>
  </si>
  <si>
    <t xml:space="preserve">Доход/комиссии за год, $ млн</t>
  </si>
  <si>
    <t xml:space="preserve">Активных разработчиков/мес</t>
  </si>
  <si>
    <t xml:space="preserve">Разлок за 6 мес, % предложения</t>
  </si>
  <si>
    <t xml:space="preserve">Инвесторы и команда, 1–5</t>
  </si>
  <si>
    <t xml:space="preserve">Рост TVL 6м</t>
  </si>
  <si>
    <t xml:space="preserve">Рост адресов 6м</t>
  </si>
  <si>
    <t xml:space="preserve">Mcap / TVL</t>
  </si>
  <si>
    <t xml:space="preserve">Mcap / Доход</t>
  </si>
  <si>
    <t xml:space="preserve">FDV / Mcap</t>
  </si>
  <si>
    <t xml:space="preserve">Итоговый балл, 0–100</t>
  </si>
  <si>
    <t xml:space="preserve">Место</t>
  </si>
  <si>
    <t xml:space="preserve">Пример A</t>
  </si>
  <si>
    <t xml:space="preserve">L1</t>
  </si>
  <si>
    <t xml:space="preserve">Пример B</t>
  </si>
  <si>
    <t xml:space="preserve">L2</t>
  </si>
  <si>
    <t xml:space="preserve">Пример C</t>
  </si>
  <si>
    <t xml:space="preserve">Легенда: зелёный — лучше среди сравниваемых, красный — хуже. Для Mcap/TVL, Mcap/Доход и FDV/Mcap меньше = лучше. Лидер по баллу подсвечен зелёным.</t>
  </si>
  <si>
    <t xml:space="preserve">Балл относительный: показывает, кто сильнее внутри твоей выборки, а не «покупать/не покупать». Сравнивай сети одной категории.</t>
  </si>
  <si>
    <t xml:space="preserve">Служебный лист: нормированные оценки 0–1 по каждой метрике</t>
  </si>
  <si>
    <t xml:space="preserve">Взвешенные оценки</t>
  </si>
  <si>
    <t xml:space="preserve">Учтённые веса</t>
  </si>
  <si>
    <t xml:space="preserve">Активных разработчиков</t>
  </si>
  <si>
    <t xml:space="preserve">Разлок за 6 мес</t>
  </si>
  <si>
    <t xml:space="preserve">Инвесторы и команда</t>
  </si>
  <si>
    <t xml:space="preserve">Итог 0–100</t>
  </si>
  <si>
    <t xml:space="preserve">Веса метрик (меняй под себя)</t>
  </si>
  <si>
    <t xml:space="preserve">Метрика</t>
  </si>
  <si>
    <t xml:space="preserve">Вес</t>
  </si>
  <si>
    <t xml:space="preserve">Направление</t>
  </si>
  <si>
    <t xml:space="preserve">больше = лучше</t>
  </si>
  <si>
    <t xml:space="preserve">меньше = лучше</t>
  </si>
  <si>
    <t xml:space="preserve">Сумма весов</t>
  </si>
  <si>
    <t xml:space="preserve">Где брать цифры</t>
  </si>
  <si>
    <t xml:space="preserve">Колонка</t>
  </si>
  <si>
    <t xml:space="preserve">Источник</t>
  </si>
  <si>
    <t xml:space="preserve">Ссылка</t>
  </si>
  <si>
    <t xml:space="preserve">Капитализация, FDV</t>
  </si>
  <si>
    <t xml:space="preserve">CoinGecko</t>
  </si>
  <si>
    <t xml:space="preserve">https://www.coingecko.com/en/categories</t>
  </si>
  <si>
    <t xml:space="preserve">TVL сейчас и 6 мес назад</t>
  </si>
  <si>
    <t xml:space="preserve">DeFiLlama → Chains</t>
  </si>
  <si>
    <t xml:space="preserve">https://defillama.com/chains</t>
  </si>
  <si>
    <t xml:space="preserve">Активные адреса</t>
  </si>
  <si>
    <t xml:space="preserve">Artemis</t>
  </si>
  <si>
    <t xml:space="preserve">https://app.artemis.xyz</t>
  </si>
  <si>
    <t xml:space="preserve">Доход / комиссии</t>
  </si>
  <si>
    <t xml:space="preserve">DeFiLlama Fees</t>
  </si>
  <si>
    <t xml:space="preserve">https://defillama.com/fees</t>
  </si>
  <si>
    <t xml:space="preserve">Доход (альтернатива)</t>
  </si>
  <si>
    <t xml:space="preserve">Token Terminal</t>
  </si>
  <si>
    <t xml:space="preserve">https://tokenterminal.com</t>
  </si>
  <si>
    <t xml:space="preserve">Разработчики</t>
  </si>
  <si>
    <t xml:space="preserve">Разлоки</t>
  </si>
  <si>
    <t xml:space="preserve">Tokenomist</t>
  </si>
  <si>
    <t xml:space="preserve">https://tokenomist.ai</t>
  </si>
  <si>
    <t xml:space="preserve">Инвесторы, раунды</t>
  </si>
  <si>
    <t xml:space="preserve">CryptoRank</t>
  </si>
  <si>
    <t xml:space="preserve">https://cryptorank.io</t>
  </si>
  <si>
    <t xml:space="preserve">DeFiLlama Raises</t>
  </si>
  <si>
    <t xml:space="preserve">https://defillama.com/raises</t>
  </si>
  <si>
    <t xml:space="preserve">Метрики L2</t>
  </si>
  <si>
    <t xml:space="preserve">growthepie</t>
  </si>
  <si>
    <t xml:space="preserve">https://www.growthepie.xyz</t>
  </si>
  <si>
    <t xml:space="preserve">Риски L2</t>
  </si>
  <si>
    <t xml:space="preserve">L2BEAT</t>
  </si>
  <si>
    <t xml:space="preserve">https://l2beat.com</t>
  </si>
  <si>
    <t xml:space="preserve">Как пользоваться:</t>
  </si>
  <si>
    <t xml:space="preserve">1. На листе «Сравнение» замени строки «Пример» своими сетями (до 10 штук).</t>
  </si>
  <si>
    <t xml:space="preserve">2. Заполняй жёлтые ячейки. Пустые метрики просто не учитываются в балле.</t>
  </si>
  <si>
    <t xml:space="preserve">3. Для балла нужно минимум 2 сети с данными по метрике.</t>
  </si>
  <si>
    <t xml:space="preserve">4. Веса метрик меняй на листе «Веса».</t>
  </si>
  <si>
    <t xml:space="preserve">5. Разлок вводи в процентах (3% = 3%), инвесторов — оценкой 1–5 по своему мнению.</t>
  </si>
  <si>
    <t xml:space="preserve">Балл относительный и не является рекомендацией к покупке.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</si>
</sst>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#,##0"/>
    <numFmt numFmtId="167" formatCode="#,##0.0"/>
    <numFmt numFmtId="168" formatCode="0.0%"/>
    <numFmt numFmtId="169" formatCode="0"/>
    <numFmt numFmtId="170" formatCode="0%"/>
    <numFmt numFmtId="171" formatCode="0.00\x"/>
    <numFmt numFmtId="172" formatCode="0.0\x"/>
    <numFmt numFmtId="173" formatCode="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i val="true"/>
      <sz val="8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9C000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375623"/>
        <bgColor rgb="FF59595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coingecko.com/en/categories" TargetMode="External"/><Relationship Id="rId2" Type="http://schemas.openxmlformats.org/officeDocument/2006/relationships/hyperlink" Target="https://defillama.com/chains" TargetMode="External"/><Relationship Id="rId3" Type="http://schemas.openxmlformats.org/officeDocument/2006/relationships/hyperlink" Target="https://app.artemis.xyz/" TargetMode="External"/><Relationship Id="rId4" Type="http://schemas.openxmlformats.org/officeDocument/2006/relationships/hyperlink" Target="https://defillama.com/fees" TargetMode="External"/><Relationship Id="rId5" Type="http://schemas.openxmlformats.org/officeDocument/2006/relationships/hyperlink" Target="https://tokenterminal.com/" TargetMode="External"/><Relationship Id="rId6" Type="http://schemas.openxmlformats.org/officeDocument/2006/relationships/hyperlink" Target="https://app.artemis.xyz/" TargetMode="External"/><Relationship Id="rId7" Type="http://schemas.openxmlformats.org/officeDocument/2006/relationships/hyperlink" Target="https://tokenomist.ai/" TargetMode="External"/><Relationship Id="rId8" Type="http://schemas.openxmlformats.org/officeDocument/2006/relationships/hyperlink" Target="https://cryptorank.io/" TargetMode="External"/><Relationship Id="rId9" Type="http://schemas.openxmlformats.org/officeDocument/2006/relationships/hyperlink" Target="https://defillama.com/raises" TargetMode="External"/><Relationship Id="rId10" Type="http://schemas.openxmlformats.org/officeDocument/2006/relationships/hyperlink" Target="https://www.growthepie.xyz/" TargetMode="External"/><Relationship Id="rId11" Type="http://schemas.openxmlformats.org/officeDocument/2006/relationships/hyperlink" Target="https://l2beat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11" min="9" style="0" width="14"/>
    <col collapsed="false" customWidth="true" hidden="false" outlineLevel="0" max="12" min="12" style="0" width="13"/>
    <col collapsed="false" customWidth="true" hidden="false" outlineLevel="0" max="14" min="13" style="0" width="11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8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5" t="s">
        <v>3</v>
      </c>
      <c r="L3" s="2"/>
      <c r="M3" s="4" t="s">
        <v>4</v>
      </c>
      <c r="N3" s="2"/>
      <c r="O3" s="2"/>
      <c r="P3" s="2"/>
      <c r="Q3" s="2"/>
      <c r="R3" s="2"/>
      <c r="S3" s="2"/>
    </row>
    <row r="4" customFormat="false" ht="5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  <c r="S4" s="7" t="s">
        <v>23</v>
      </c>
    </row>
    <row r="5" customFormat="false" ht="15" hidden="false" customHeight="false" outlineLevel="0" collapsed="false">
      <c r="A5" s="8" t="s">
        <v>24</v>
      </c>
      <c r="B5" s="9" t="s">
        <v>25</v>
      </c>
      <c r="C5" s="10" t="n">
        <v>8000</v>
      </c>
      <c r="D5" s="10" t="n">
        <v>10000</v>
      </c>
      <c r="E5" s="10" t="n">
        <v>1200</v>
      </c>
      <c r="F5" s="10" t="n">
        <v>900</v>
      </c>
      <c r="G5" s="10" t="n">
        <v>400000</v>
      </c>
      <c r="H5" s="10" t="n">
        <v>300000</v>
      </c>
      <c r="I5" s="11" t="n">
        <v>150</v>
      </c>
      <c r="J5" s="10" t="n">
        <v>900</v>
      </c>
      <c r="K5" s="12" t="n">
        <v>0.03</v>
      </c>
      <c r="L5" s="13" t="n">
        <v>5</v>
      </c>
      <c r="M5" s="14" t="n">
        <f aca="false">IF(OR(E5="",F5="",F5=0),"",E5/F5-1)</f>
        <v>0.333333333333333</v>
      </c>
      <c r="N5" s="14" t="n">
        <f aca="false">IF(OR(G5="",H5="",H5=0),"",G5/H5-1)</f>
        <v>0.333333333333333</v>
      </c>
      <c r="O5" s="15" t="n">
        <f aca="false">IF(OR(C5="",E5="",E5=0),"",C5/E5)</f>
        <v>6.66666666666667</v>
      </c>
      <c r="P5" s="16" t="n">
        <f aca="false">IF(OR(C5="",I5="",I5=0),"",C5/I5)</f>
        <v>53.3333333333333</v>
      </c>
      <c r="Q5" s="15" t="n">
        <f aca="false">IF(OR(C5="",D5="",C5=0),"",D5/C5)</f>
        <v>1.25</v>
      </c>
      <c r="R5" s="17" t="n">
        <f aca="false">Расчёт!K5</f>
        <v>71.6617032819351</v>
      </c>
      <c r="S5" s="17" t="n">
        <f aca="false">IF(R5="","",RANK(R5,$R$5:$R$14))</f>
        <v>1</v>
      </c>
    </row>
    <row r="6" customFormat="false" ht="15" hidden="false" customHeight="false" outlineLevel="0" collapsed="false">
      <c r="A6" s="8" t="s">
        <v>26</v>
      </c>
      <c r="B6" s="9" t="s">
        <v>27</v>
      </c>
      <c r="C6" s="10" t="n">
        <v>1500</v>
      </c>
      <c r="D6" s="10" t="n">
        <v>6000</v>
      </c>
      <c r="E6" s="10" t="n">
        <v>600</v>
      </c>
      <c r="F6" s="10" t="n">
        <v>700</v>
      </c>
      <c r="G6" s="10" t="n">
        <v>250000</v>
      </c>
      <c r="H6" s="10" t="n">
        <v>320000</v>
      </c>
      <c r="I6" s="11" t="n">
        <v>40</v>
      </c>
      <c r="J6" s="10" t="n">
        <v>300</v>
      </c>
      <c r="K6" s="12" t="n">
        <v>0.12</v>
      </c>
      <c r="L6" s="13" t="n">
        <v>4</v>
      </c>
      <c r="M6" s="14" t="n">
        <f aca="false">IF(OR(E6="",F6="",F6=0),"",E6/F6-1)</f>
        <v>-0.142857142857143</v>
      </c>
      <c r="N6" s="14" t="n">
        <f aca="false">IF(OR(G6="",H6="",H6=0),"",G6/H6-1)</f>
        <v>-0.21875</v>
      </c>
      <c r="O6" s="15" t="n">
        <f aca="false">IF(OR(C6="",E6="",E6=0),"",C6/E6)</f>
        <v>2.5</v>
      </c>
      <c r="P6" s="16" t="n">
        <f aca="false">IF(OR(C6="",I6="",I6=0),"",C6/I6)</f>
        <v>37.5</v>
      </c>
      <c r="Q6" s="15" t="n">
        <f aca="false">IF(OR(C6="",D6="",C6=0),"",D6/C6)</f>
        <v>4</v>
      </c>
      <c r="R6" s="17" t="n">
        <f aca="false">Расчёт!K6</f>
        <v>33</v>
      </c>
      <c r="S6" s="17" t="n">
        <f aca="false">IF(R6="","",RANK(R6,$R$5:$R$14))</f>
        <v>3</v>
      </c>
    </row>
    <row r="7" customFormat="false" ht="15" hidden="false" customHeight="false" outlineLevel="0" collapsed="false">
      <c r="A7" s="8" t="s">
        <v>28</v>
      </c>
      <c r="B7" s="9" t="s">
        <v>25</v>
      </c>
      <c r="C7" s="10" t="n">
        <v>3000</v>
      </c>
      <c r="D7" s="10" t="n">
        <v>3500</v>
      </c>
      <c r="E7" s="10" t="n">
        <v>200</v>
      </c>
      <c r="F7" s="10" t="n">
        <v>80</v>
      </c>
      <c r="G7" s="10" t="n">
        <v>90000</v>
      </c>
      <c r="H7" s="10" t="n">
        <v>40000</v>
      </c>
      <c r="I7" s="11" t="n">
        <v>25</v>
      </c>
      <c r="J7" s="10" t="n">
        <v>150</v>
      </c>
      <c r="K7" s="12" t="n">
        <v>0.01</v>
      </c>
      <c r="L7" s="13" t="n">
        <v>3</v>
      </c>
      <c r="M7" s="14" t="n">
        <f aca="false">IF(OR(E7="",F7="",F7=0),"",E7/F7-1)</f>
        <v>1.5</v>
      </c>
      <c r="N7" s="14" t="n">
        <f aca="false">IF(OR(G7="",H7="",H7=0),"",G7/H7-1)</f>
        <v>1.25</v>
      </c>
      <c r="O7" s="15" t="n">
        <f aca="false">IF(OR(C7="",E7="",E7=0),"",C7/E7)</f>
        <v>15</v>
      </c>
      <c r="P7" s="16" t="n">
        <f aca="false">IF(OR(C7="",I7="",I7=0),"",C7/I7)</f>
        <v>120</v>
      </c>
      <c r="Q7" s="15" t="n">
        <f aca="false">IF(OR(C7="",D7="",C7=0),"",D7/C7)</f>
        <v>1.16666666666667</v>
      </c>
      <c r="R7" s="17" t="n">
        <f aca="false">Расчёт!K7</f>
        <v>50</v>
      </c>
      <c r="S7" s="17" t="n">
        <f aca="false">IF(R7="","",RANK(R7,$R$5:$R$14))</f>
        <v>2</v>
      </c>
    </row>
    <row r="8" customFormat="false" ht="15" hidden="false" customHeight="false" outlineLevel="0" collapsed="false">
      <c r="A8" s="8"/>
      <c r="B8" s="9"/>
      <c r="C8" s="10"/>
      <c r="D8" s="10"/>
      <c r="E8" s="10"/>
      <c r="F8" s="10"/>
      <c r="G8" s="10"/>
      <c r="H8" s="10"/>
      <c r="I8" s="11"/>
      <c r="J8" s="10"/>
      <c r="K8" s="12"/>
      <c r="L8" s="13"/>
      <c r="M8" s="14" t="str">
        <f aca="false">IF(OR(E8="",F8="",F8=0),"",E8/F8-1)</f>
        <v/>
      </c>
      <c r="N8" s="14" t="str">
        <f aca="false">IF(OR(G8="",H8="",H8=0),"",G8/H8-1)</f>
        <v/>
      </c>
      <c r="O8" s="15" t="str">
        <f aca="false">IF(OR(C8="",E8="",E8=0),"",C8/E8)</f>
        <v/>
      </c>
      <c r="P8" s="16" t="str">
        <f aca="false">IF(OR(C8="",I8="",I8=0),"",C8/I8)</f>
        <v/>
      </c>
      <c r="Q8" s="15" t="str">
        <f aca="false">IF(OR(C8="",D8="",C8=0),"",D8/C8)</f>
        <v/>
      </c>
      <c r="R8" s="17" t="str">
        <f aca="false">Расчёт!K8</f>
        <v/>
      </c>
      <c r="S8" s="17" t="str">
        <f aca="false">IF(R8="","",RANK(R8,$R$5:$R$14))</f>
        <v/>
      </c>
    </row>
    <row r="9" customFormat="false" ht="15" hidden="false" customHeight="false" outlineLevel="0" collapsed="false">
      <c r="A9" s="8"/>
      <c r="B9" s="9"/>
      <c r="C9" s="10"/>
      <c r="D9" s="10"/>
      <c r="E9" s="10"/>
      <c r="F9" s="10"/>
      <c r="G9" s="10"/>
      <c r="H9" s="10"/>
      <c r="I9" s="11"/>
      <c r="J9" s="10"/>
      <c r="K9" s="12"/>
      <c r="L9" s="13"/>
      <c r="M9" s="14" t="str">
        <f aca="false">IF(OR(E9="",F9="",F9=0),"",E9/F9-1)</f>
        <v/>
      </c>
      <c r="N9" s="14" t="str">
        <f aca="false">IF(OR(G9="",H9="",H9=0),"",G9/H9-1)</f>
        <v/>
      </c>
      <c r="O9" s="15" t="str">
        <f aca="false">IF(OR(C9="",E9="",E9=0),"",C9/E9)</f>
        <v/>
      </c>
      <c r="P9" s="16" t="str">
        <f aca="false">IF(OR(C9="",I9="",I9=0),"",C9/I9)</f>
        <v/>
      </c>
      <c r="Q9" s="15" t="str">
        <f aca="false">IF(OR(C9="",D9="",C9=0),"",D9/C9)</f>
        <v/>
      </c>
      <c r="R9" s="17" t="str">
        <f aca="false">Расчёт!K9</f>
        <v/>
      </c>
      <c r="S9" s="17" t="str">
        <f aca="false">IF(R9="","",RANK(R9,$R$5:$R$14))</f>
        <v/>
      </c>
    </row>
    <row r="10" customFormat="false" ht="15" hidden="false" customHeight="false" outlineLevel="0" collapsed="false">
      <c r="A10" s="8"/>
      <c r="B10" s="9"/>
      <c r="C10" s="10"/>
      <c r="D10" s="10"/>
      <c r="E10" s="10"/>
      <c r="F10" s="10"/>
      <c r="G10" s="10"/>
      <c r="H10" s="10"/>
      <c r="I10" s="11"/>
      <c r="J10" s="10"/>
      <c r="K10" s="12"/>
      <c r="L10" s="13"/>
      <c r="M10" s="14" t="str">
        <f aca="false">IF(OR(E10="",F10="",F10=0),"",E10/F10-1)</f>
        <v/>
      </c>
      <c r="N10" s="14" t="str">
        <f aca="false">IF(OR(G10="",H10="",H10=0),"",G10/H10-1)</f>
        <v/>
      </c>
      <c r="O10" s="15" t="str">
        <f aca="false">IF(OR(C10="",E10="",E10=0),"",C10/E10)</f>
        <v/>
      </c>
      <c r="P10" s="16" t="str">
        <f aca="false">IF(OR(C10="",I10="",I10=0),"",C10/I10)</f>
        <v/>
      </c>
      <c r="Q10" s="15" t="str">
        <f aca="false">IF(OR(C10="",D10="",C10=0),"",D10/C10)</f>
        <v/>
      </c>
      <c r="R10" s="17" t="str">
        <f aca="false">Расчёт!K10</f>
        <v/>
      </c>
      <c r="S10" s="17" t="str">
        <f aca="false">IF(R10="","",RANK(R10,$R$5:$R$14))</f>
        <v/>
      </c>
    </row>
    <row r="11" customFormat="false" ht="15" hidden="false" customHeight="false" outlineLevel="0" collapsed="false">
      <c r="A11" s="8"/>
      <c r="B11" s="9"/>
      <c r="C11" s="10"/>
      <c r="D11" s="10"/>
      <c r="E11" s="10"/>
      <c r="F11" s="10"/>
      <c r="G11" s="10"/>
      <c r="H11" s="10"/>
      <c r="I11" s="11"/>
      <c r="J11" s="10"/>
      <c r="K11" s="12"/>
      <c r="L11" s="13"/>
      <c r="M11" s="14" t="str">
        <f aca="false">IF(OR(E11="",F11="",F11=0),"",E11/F11-1)</f>
        <v/>
      </c>
      <c r="N11" s="14" t="str">
        <f aca="false">IF(OR(G11="",H11="",H11=0),"",G11/H11-1)</f>
        <v/>
      </c>
      <c r="O11" s="15" t="str">
        <f aca="false">IF(OR(C11="",E11="",E11=0),"",C11/E11)</f>
        <v/>
      </c>
      <c r="P11" s="16" t="str">
        <f aca="false">IF(OR(C11="",I11="",I11=0),"",C11/I11)</f>
        <v/>
      </c>
      <c r="Q11" s="15" t="str">
        <f aca="false">IF(OR(C11="",D11="",C11=0),"",D11/C11)</f>
        <v/>
      </c>
      <c r="R11" s="17" t="str">
        <f aca="false">Расчёт!K11</f>
        <v/>
      </c>
      <c r="S11" s="17" t="str">
        <f aca="false">IF(R11="","",RANK(R11,$R$5:$R$14))</f>
        <v/>
      </c>
    </row>
    <row r="12" customFormat="false" ht="15" hidden="false" customHeight="false" outlineLevel="0" collapsed="false">
      <c r="A12" s="8"/>
      <c r="B12" s="9"/>
      <c r="C12" s="10"/>
      <c r="D12" s="10"/>
      <c r="E12" s="10"/>
      <c r="F12" s="10"/>
      <c r="G12" s="10"/>
      <c r="H12" s="10"/>
      <c r="I12" s="11"/>
      <c r="J12" s="10"/>
      <c r="K12" s="12"/>
      <c r="L12" s="13"/>
      <c r="M12" s="14" t="str">
        <f aca="false">IF(OR(E12="",F12="",F12=0),"",E12/F12-1)</f>
        <v/>
      </c>
      <c r="N12" s="14" t="str">
        <f aca="false">IF(OR(G12="",H12="",H12=0),"",G12/H12-1)</f>
        <v/>
      </c>
      <c r="O12" s="15" t="str">
        <f aca="false">IF(OR(C12="",E12="",E12=0),"",C12/E12)</f>
        <v/>
      </c>
      <c r="P12" s="16" t="str">
        <f aca="false">IF(OR(C12="",I12="",I12=0),"",C12/I12)</f>
        <v/>
      </c>
      <c r="Q12" s="15" t="str">
        <f aca="false">IF(OR(C12="",D12="",C12=0),"",D12/C12)</f>
        <v/>
      </c>
      <c r="R12" s="17" t="str">
        <f aca="false">Расчёт!K12</f>
        <v/>
      </c>
      <c r="S12" s="17" t="str">
        <f aca="false">IF(R12="","",RANK(R12,$R$5:$R$14))</f>
        <v/>
      </c>
    </row>
    <row r="13" customFormat="false" ht="15" hidden="false" customHeight="false" outlineLevel="0" collapsed="false">
      <c r="A13" s="8"/>
      <c r="B13" s="9"/>
      <c r="C13" s="10"/>
      <c r="D13" s="10"/>
      <c r="E13" s="10"/>
      <c r="F13" s="10"/>
      <c r="G13" s="10"/>
      <c r="H13" s="10"/>
      <c r="I13" s="11"/>
      <c r="J13" s="10"/>
      <c r="K13" s="12"/>
      <c r="L13" s="13"/>
      <c r="M13" s="14" t="str">
        <f aca="false">IF(OR(E13="",F13="",F13=0),"",E13/F13-1)</f>
        <v/>
      </c>
      <c r="N13" s="14" t="str">
        <f aca="false">IF(OR(G13="",H13="",H13=0),"",G13/H13-1)</f>
        <v/>
      </c>
      <c r="O13" s="15" t="str">
        <f aca="false">IF(OR(C13="",E13="",E13=0),"",C13/E13)</f>
        <v/>
      </c>
      <c r="P13" s="16" t="str">
        <f aca="false">IF(OR(C13="",I13="",I13=0),"",C13/I13)</f>
        <v/>
      </c>
      <c r="Q13" s="15" t="str">
        <f aca="false">IF(OR(C13="",D13="",C13=0),"",D13/C13)</f>
        <v/>
      </c>
      <c r="R13" s="17" t="str">
        <f aca="false">Расчёт!K13</f>
        <v/>
      </c>
      <c r="S13" s="17" t="str">
        <f aca="false">IF(R13="","",RANK(R13,$R$5:$R$14))</f>
        <v/>
      </c>
    </row>
    <row r="14" customFormat="false" ht="15" hidden="false" customHeight="false" outlineLevel="0" collapsed="false">
      <c r="A14" s="8"/>
      <c r="B14" s="9"/>
      <c r="C14" s="10"/>
      <c r="D14" s="10"/>
      <c r="E14" s="10"/>
      <c r="F14" s="10"/>
      <c r="G14" s="10"/>
      <c r="H14" s="10"/>
      <c r="I14" s="11"/>
      <c r="J14" s="10"/>
      <c r="K14" s="12"/>
      <c r="L14" s="13"/>
      <c r="M14" s="14" t="str">
        <f aca="false">IF(OR(E14="",F14="",F14=0),"",E14/F14-1)</f>
        <v/>
      </c>
      <c r="N14" s="14" t="str">
        <f aca="false">IF(OR(G14="",H14="",H14=0),"",G14/H14-1)</f>
        <v/>
      </c>
      <c r="O14" s="15" t="str">
        <f aca="false">IF(OR(C14="",E14="",E14=0),"",C14/E14)</f>
        <v/>
      </c>
      <c r="P14" s="16" t="str">
        <f aca="false">IF(OR(C14="",I14="",I14=0),"",C14/I14)</f>
        <v/>
      </c>
      <c r="Q14" s="15" t="str">
        <f aca="false">IF(OR(C14="",D14="",C14=0),"",D14/C14)</f>
        <v/>
      </c>
      <c r="R14" s="17" t="str">
        <f aca="false">Расчёт!K14</f>
        <v/>
      </c>
      <c r="S14" s="17" t="str">
        <f aca="false">IF(R14="","",RANK(R14,$R$5:$R$14))</f>
        <v/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customFormat="false" ht="15" hidden="false" customHeight="false" outlineLevel="0" collapsed="false">
      <c r="A16" s="18" t="s">
        <v>29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customFormat="false" ht="15" hidden="false" customHeight="false" outlineLevel="0" collapsed="false">
      <c r="A17" s="19" t="s">
        <v>30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</sheetData>
  <conditionalFormatting sqref="M5:M1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expression" priority="3" aboveAverage="0" equalAverage="0" bottom="0" percent="0" rank="0" text="" dxfId="0">
      <formula>AND(ISNUMBER(M5),M5&lt;0)</formula>
    </cfRule>
  </conditionalFormatting>
  <conditionalFormatting sqref="N5:N1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expression" priority="5" aboveAverage="0" equalAverage="0" bottom="0" percent="0" rank="0" text="" dxfId="0">
      <formula>AND(ISNUMBER(N5),N5&lt;0)</formula>
    </cfRule>
  </conditionalFormatting>
  <conditionalFormatting sqref="R5:R1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14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5:P14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5:Q14"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5:S14">
    <cfRule type="expression" priority="10" aboveAverage="0" equalAverage="0" bottom="0" percent="0" rank="0" text="" dxfId="1">
      <formula>AND($S5&lt;&gt;"",$S5=1)</formula>
    </cfRule>
  </conditionalFormatting>
  <conditionalFormatting sqref="A5:A14">
    <cfRule type="expression" priority="11" aboveAverage="0" equalAverage="0" bottom="0" percent="0" rank="0" text="" dxfId="1">
      <formula>AND($S5&lt;&gt;"",$S5=1)</formula>
    </cfRule>
  </conditionalFormatting>
  <conditionalFormatting sqref="K5:K14">
    <cfRule type="expression" priority="12" aboveAverage="0" equalAverage="0" bottom="0" percent="0" rank="0" text="" dxfId="2">
      <formula>AND(ISNUMBER($K5),$K5&gt;=0.1)</formula>
    </cfRule>
  </conditionalFormatting>
  <dataValidations count="2">
    <dataValidation allowBlank="false" error="Введи число от 1 до 5" errorStyle="stop" errorTitle="Оценка 1–5" operator="between" showDropDown="false" showErrorMessage="true" showInputMessage="false" sqref="L5:L14" type="whole">
      <formula1>1</formula1>
      <formula2>5</formula2>
    </dataValidation>
    <dataValidation allowBlank="true" errorStyle="stop" operator="between" showDropDown="false" showErrorMessage="false" showInputMessage="false" sqref="B5:B14" type="list">
      <formula1>"L1,L2,DeFi,AI,Gaming,RWA,Другое"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1" min="2" style="0" width="14"/>
  </cols>
  <sheetData>
    <row r="1" customFormat="false" ht="15" hidden="false" customHeight="false" outlineLevel="0" collapsed="false">
      <c r="A1" s="20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 t="s">
        <v>32</v>
      </c>
      <c r="M3" s="2"/>
      <c r="N3" s="2"/>
      <c r="O3" s="2"/>
      <c r="P3" s="2"/>
      <c r="Q3" s="2"/>
      <c r="R3" s="2"/>
      <c r="S3" s="2"/>
      <c r="T3" s="2" t="s">
        <v>33</v>
      </c>
      <c r="U3" s="2"/>
      <c r="V3" s="2"/>
      <c r="W3" s="2"/>
      <c r="X3" s="2"/>
      <c r="Y3" s="2"/>
      <c r="Z3" s="2"/>
      <c r="AA3" s="2"/>
    </row>
    <row r="4" customFormat="false" ht="15" hidden="false" customHeight="false" outlineLevel="0" collapsed="false">
      <c r="A4" s="20" t="s">
        <v>5</v>
      </c>
      <c r="B4" s="20" t="s">
        <v>17</v>
      </c>
      <c r="C4" s="20" t="s">
        <v>18</v>
      </c>
      <c r="D4" s="20" t="s">
        <v>19</v>
      </c>
      <c r="E4" s="20" t="s">
        <v>20</v>
      </c>
      <c r="F4" s="20" t="s">
        <v>34</v>
      </c>
      <c r="G4" s="20" t="s">
        <v>35</v>
      </c>
      <c r="H4" s="20" t="s">
        <v>21</v>
      </c>
      <c r="I4" s="20" t="s">
        <v>36</v>
      </c>
      <c r="J4" s="20"/>
      <c r="K4" s="20" t="s">
        <v>37</v>
      </c>
      <c r="L4" s="20"/>
      <c r="M4" s="20"/>
      <c r="N4" s="20"/>
      <c r="O4" s="20"/>
      <c r="P4" s="20"/>
      <c r="Q4" s="20"/>
      <c r="R4" s="20"/>
      <c r="S4" s="20"/>
      <c r="T4" s="20"/>
      <c r="U4" s="2"/>
      <c r="V4" s="2"/>
      <c r="W4" s="2"/>
      <c r="X4" s="2"/>
      <c r="Y4" s="2"/>
      <c r="Z4" s="2"/>
      <c r="AA4" s="2"/>
    </row>
    <row r="5" customFormat="false" ht="15" hidden="false" customHeight="false" outlineLevel="0" collapsed="false">
      <c r="A5" s="2" t="str">
        <f aca="false">IF(Сравнение!A5="","",Сравнение!A5)</f>
        <v>Пример A</v>
      </c>
      <c r="B5" s="21" t="n">
        <f aca="false">IF(OR(NOT(ISNUMBER(Сравнение!M5)),COUNT(Сравнение!$M$5:$M$14)&lt;2),"",IF(MAX(Сравнение!$M$5:$M$14)=MIN(Сравнение!$M$5:$M$14),0.5,(Сравнение!M5-MIN(Сравнение!$M$5:$M$14))/(MAX(Сравнение!$M$5:$M$14)-MIN(Сравнение!$M$5:$M$14))))</f>
        <v>0.289855072463768</v>
      </c>
      <c r="C5" s="21" t="n">
        <f aca="false">IF(OR(NOT(ISNUMBER(Сравнение!N5)),COUNT(Сравнение!$N$5:$N$14)&lt;2),"",IF(MAX(Сравнение!$N$5:$N$14)=MIN(Сравнение!$N$5:$N$14),0.5,(Сравнение!N5-MIN(Сравнение!$N$5:$N$14))/(MAX(Сравнение!$N$5:$N$14)-MIN(Сравнение!$N$5:$N$14))))</f>
        <v>0.375886524822695</v>
      </c>
      <c r="D5" s="21" t="n">
        <f aca="false">IF(OR(NOT(ISNUMBER(Сравнение!O5)),COUNT(Сравнение!$O$5:$O$14)&lt;2),"",IF(MAX(Сравнение!$O$5:$O$14)=MIN(Сравнение!$O$5:$O$14),0.5,(MAX(Сравнение!$O$5:$O$14)-Сравнение!O5)/(MAX(Сравнение!$O$5:$O$14)-MIN(Сравнение!$O$5:$O$14))))</f>
        <v>0.666666666666667</v>
      </c>
      <c r="E5" s="21" t="n">
        <f aca="false">IF(OR(NOT(ISNUMBER(Сравнение!P5)),COUNT(Сравнение!$P$5:$P$14)&lt;2),"",IF(MAX(Сравнение!$P$5:$P$14)=MIN(Сравнение!$P$5:$P$14),0.5,(MAX(Сравнение!$P$5:$P$14)-Сравнение!P5)/(MAX(Сравнение!$P$5:$P$14)-MIN(Сравнение!$P$5:$P$14))))</f>
        <v>0.808080808080808</v>
      </c>
      <c r="F5" s="21" t="n">
        <f aca="false">IF(OR(NOT(ISNUMBER(Сравнение!J5)),COUNT(Сравнение!$J$5:$J$14)&lt;2),"",IF(MAX(Сравнение!$J$5:$J$14)=MIN(Сравнение!$J$5:$J$14),0.5,(Сравнение!J5-MIN(Сравнение!$J$5:$J$14))/(MAX(Сравнение!$J$5:$J$14)-MIN(Сравнение!$J$5:$J$14))))</f>
        <v>1</v>
      </c>
      <c r="G5" s="21" t="n">
        <f aca="false">IF(OR(NOT(ISNUMBER(Сравнение!K5)),COUNT(Сравнение!$K$5:$K$14)&lt;2),"",IF(MAX(Сравнение!$K$5:$K$14)=MIN(Сравнение!$K$5:$K$14),0.5,(MAX(Сравнение!$K$5:$K$14)-Сравнение!K5)/(MAX(Сравнение!$K$5:$K$14)-MIN(Сравнение!$K$5:$K$14))))</f>
        <v>0.818181818181818</v>
      </c>
      <c r="H5" s="21" t="n">
        <f aca="false">IF(OR(NOT(ISNUMBER(Сравнение!Q5)),COUNT(Сравнение!$Q$5:$Q$14)&lt;2),"",IF(MAX(Сравнение!$Q$5:$Q$14)=MIN(Сравнение!$Q$5:$Q$14),0.5,(MAX(Сравнение!$Q$5:$Q$14)-Сравнение!Q5)/(MAX(Сравнение!$Q$5:$Q$14)-MIN(Сравнение!$Q$5:$Q$14))))</f>
        <v>0.970588235294118</v>
      </c>
      <c r="I5" s="21" t="n">
        <f aca="false">IF(OR(NOT(ISNUMBER(Сравнение!L5)),COUNT(Сравнение!$L$5:$L$14)&lt;2),"",IF(MAX(Сравнение!$L$5:$L$14)=MIN(Сравнение!$L$5:$L$14),0.5,(Сравнение!L5-MIN(Сравнение!$L$5:$L$14))/(MAX(Сравнение!$L$5:$L$14)-MIN(Сравнение!$L$5:$L$14))))</f>
        <v>1</v>
      </c>
      <c r="J5" s="2"/>
      <c r="K5" s="22" t="n">
        <f aca="false">IF(OR(Сравнение!A5="",SUM(T5:AA5)=0),"",100*SUM(L5:S5)/SUM(T5:AA5))</f>
        <v>71.6617032819351</v>
      </c>
      <c r="L5" s="2" t="n">
        <f aca="false">IF(ISNUMBER(B5),B5*Веса!$B$4,0)</f>
        <v>4.34782608695652</v>
      </c>
      <c r="M5" s="2" t="n">
        <f aca="false">IF(ISNUMBER(C5),C5*Веса!$B$5,0)</f>
        <v>5.63829787234042</v>
      </c>
      <c r="N5" s="2" t="n">
        <f aca="false">IF(ISNUMBER(D5),D5*Веса!$B$6,0)</f>
        <v>6.66666666666667</v>
      </c>
      <c r="O5" s="2" t="n">
        <f aca="false">IF(ISNUMBER(E5),E5*Веса!$B$7,0)</f>
        <v>12.1212121212121</v>
      </c>
      <c r="P5" s="2" t="n">
        <f aca="false">IF(ISNUMBER(F5),F5*Веса!$B$8,0)</f>
        <v>15</v>
      </c>
      <c r="Q5" s="2" t="n">
        <f aca="false">IF(ISNUMBER(G5),G5*Веса!$B$9,0)</f>
        <v>8.18181818181818</v>
      </c>
      <c r="R5" s="2" t="n">
        <f aca="false">IF(ISNUMBER(H5),H5*Веса!$B$10,0)</f>
        <v>9.70588235294118</v>
      </c>
      <c r="S5" s="2" t="n">
        <f aca="false">IF(ISNUMBER(I5),I5*Веса!$B$11,0)</f>
        <v>10</v>
      </c>
      <c r="T5" s="2" t="n">
        <f aca="false">IF(ISNUMBER(B5),Веса!$B$4,0)</f>
        <v>15</v>
      </c>
      <c r="U5" s="2" t="n">
        <f aca="false">IF(ISNUMBER(C5),Веса!$B$5,0)</f>
        <v>15</v>
      </c>
      <c r="V5" s="2" t="n">
        <f aca="false">IF(ISNUMBER(D5),Веса!$B$6,0)</f>
        <v>10</v>
      </c>
      <c r="W5" s="2" t="n">
        <f aca="false">IF(ISNUMBER(E5),Веса!$B$7,0)</f>
        <v>15</v>
      </c>
      <c r="X5" s="2" t="n">
        <f aca="false">IF(ISNUMBER(F5),Веса!$B$8,0)</f>
        <v>15</v>
      </c>
      <c r="Y5" s="2" t="n">
        <f aca="false">IF(ISNUMBER(G5),Веса!$B$9,0)</f>
        <v>10</v>
      </c>
      <c r="Z5" s="2" t="n">
        <f aca="false">IF(ISNUMBER(H5),Веса!$B$10,0)</f>
        <v>10</v>
      </c>
      <c r="AA5" s="2" t="n">
        <f aca="false">IF(ISNUMBER(I5),Веса!$B$11,0)</f>
        <v>10</v>
      </c>
    </row>
    <row r="6" customFormat="false" ht="15" hidden="false" customHeight="false" outlineLevel="0" collapsed="false">
      <c r="A6" s="2" t="str">
        <f aca="false">IF(Сравнение!A6="","",Сравнение!A6)</f>
        <v>Пример B</v>
      </c>
      <c r="B6" s="21" t="n">
        <f aca="false">IF(OR(NOT(ISNUMBER(Сравнение!M6)),COUNT(Сравнение!$M$5:$M$14)&lt;2),"",IF(MAX(Сравнение!$M$5:$M$14)=MIN(Сравнение!$M$5:$M$14),0.5,(Сравнение!M6-MIN(Сравнение!$M$5:$M$14))/(MAX(Сравнение!$M$5:$M$14)-MIN(Сравнение!$M$5:$M$14))))</f>
        <v>0</v>
      </c>
      <c r="C6" s="21" t="n">
        <f aca="false">IF(OR(NOT(ISNUMBER(Сравнение!N6)),COUNT(Сравнение!$N$5:$N$14)&lt;2),"",IF(MAX(Сравнение!$N$5:$N$14)=MIN(Сравнение!$N$5:$N$14),0.5,(Сравнение!N6-MIN(Сравнение!$N$5:$N$14))/(MAX(Сравнение!$N$5:$N$14)-MIN(Сравнение!$N$5:$N$14))))</f>
        <v>0</v>
      </c>
      <c r="D6" s="21" t="n">
        <f aca="false">IF(OR(NOT(ISNUMBER(Сравнение!O6)),COUNT(Сравнение!$O$5:$O$14)&lt;2),"",IF(MAX(Сравнение!$O$5:$O$14)=MIN(Сравнение!$O$5:$O$14),0.5,(MAX(Сравнение!$O$5:$O$14)-Сравнение!O6)/(MAX(Сравнение!$O$5:$O$14)-MIN(Сравнение!$O$5:$O$14))))</f>
        <v>1</v>
      </c>
      <c r="E6" s="21" t="n">
        <f aca="false">IF(OR(NOT(ISNUMBER(Сравнение!P6)),COUNT(Сравнение!$P$5:$P$14)&lt;2),"",IF(MAX(Сравнение!$P$5:$P$14)=MIN(Сравнение!$P$5:$P$14),0.5,(MAX(Сравнение!$P$5:$P$14)-Сравнение!P6)/(MAX(Сравнение!$P$5:$P$14)-MIN(Сравнение!$P$5:$P$14))))</f>
        <v>1</v>
      </c>
      <c r="F6" s="21" t="n">
        <f aca="false">IF(OR(NOT(ISNUMBER(Сравнение!J6)),COUNT(Сравнение!$J$5:$J$14)&lt;2),"",IF(MAX(Сравнение!$J$5:$J$14)=MIN(Сравнение!$J$5:$J$14),0.5,(Сравнение!J6-MIN(Сравнение!$J$5:$J$14))/(MAX(Сравнение!$J$5:$J$14)-MIN(Сравнение!$J$5:$J$14))))</f>
        <v>0.2</v>
      </c>
      <c r="G6" s="21" t="n">
        <f aca="false">IF(OR(NOT(ISNUMBER(Сравнение!K6)),COUNT(Сравнение!$K$5:$K$14)&lt;2),"",IF(MAX(Сравнение!$K$5:$K$14)=MIN(Сравнение!$K$5:$K$14),0.5,(MAX(Сравнение!$K$5:$K$14)-Сравнение!K6)/(MAX(Сравнение!$K$5:$K$14)-MIN(Сравнение!$K$5:$K$14))))</f>
        <v>0</v>
      </c>
      <c r="H6" s="21" t="n">
        <f aca="false">IF(OR(NOT(ISNUMBER(Сравнение!Q6)),COUNT(Сравнение!$Q$5:$Q$14)&lt;2),"",IF(MAX(Сравнение!$Q$5:$Q$14)=MIN(Сравнение!$Q$5:$Q$14),0.5,(MAX(Сравнение!$Q$5:$Q$14)-Сравнение!Q6)/(MAX(Сравнение!$Q$5:$Q$14)-MIN(Сравнение!$Q$5:$Q$14))))</f>
        <v>0</v>
      </c>
      <c r="I6" s="21" t="n">
        <f aca="false">IF(OR(NOT(ISNUMBER(Сравнение!L6)),COUNT(Сравнение!$L$5:$L$14)&lt;2),"",IF(MAX(Сравнение!$L$5:$L$14)=MIN(Сравнение!$L$5:$L$14),0.5,(Сравнение!L6-MIN(Сравнение!$L$5:$L$14))/(MAX(Сравнение!$L$5:$L$14)-MIN(Сравнение!$L$5:$L$14))))</f>
        <v>0.5</v>
      </c>
      <c r="J6" s="2"/>
      <c r="K6" s="22" t="n">
        <f aca="false">IF(OR(Сравнение!A6="",SUM(T6:AA6)=0),"",100*SUM(L6:S6)/SUM(T6:AA6))</f>
        <v>33</v>
      </c>
      <c r="L6" s="2" t="n">
        <f aca="false">IF(ISNUMBER(B6),B6*Веса!$B$4,0)</f>
        <v>0</v>
      </c>
      <c r="M6" s="2" t="n">
        <f aca="false">IF(ISNUMBER(C6),C6*Веса!$B$5,0)</f>
        <v>0</v>
      </c>
      <c r="N6" s="2" t="n">
        <f aca="false">IF(ISNUMBER(D6),D6*Веса!$B$6,0)</f>
        <v>10</v>
      </c>
      <c r="O6" s="2" t="n">
        <f aca="false">IF(ISNUMBER(E6),E6*Веса!$B$7,0)</f>
        <v>15</v>
      </c>
      <c r="P6" s="2" t="n">
        <f aca="false">IF(ISNUMBER(F6),F6*Веса!$B$8,0)</f>
        <v>3</v>
      </c>
      <c r="Q6" s="2" t="n">
        <f aca="false">IF(ISNUMBER(G6),G6*Веса!$B$9,0)</f>
        <v>0</v>
      </c>
      <c r="R6" s="2" t="n">
        <f aca="false">IF(ISNUMBER(H6),H6*Веса!$B$10,0)</f>
        <v>0</v>
      </c>
      <c r="S6" s="2" t="n">
        <f aca="false">IF(ISNUMBER(I6),I6*Веса!$B$11,0)</f>
        <v>5</v>
      </c>
      <c r="T6" s="2" t="n">
        <f aca="false">IF(ISNUMBER(B6),Веса!$B$4,0)</f>
        <v>15</v>
      </c>
      <c r="U6" s="2" t="n">
        <f aca="false">IF(ISNUMBER(C6),Веса!$B$5,0)</f>
        <v>15</v>
      </c>
      <c r="V6" s="2" t="n">
        <f aca="false">IF(ISNUMBER(D6),Веса!$B$6,0)</f>
        <v>10</v>
      </c>
      <c r="W6" s="2" t="n">
        <f aca="false">IF(ISNUMBER(E6),Веса!$B$7,0)</f>
        <v>15</v>
      </c>
      <c r="X6" s="2" t="n">
        <f aca="false">IF(ISNUMBER(F6),Веса!$B$8,0)</f>
        <v>15</v>
      </c>
      <c r="Y6" s="2" t="n">
        <f aca="false">IF(ISNUMBER(G6),Веса!$B$9,0)</f>
        <v>10</v>
      </c>
      <c r="Z6" s="2" t="n">
        <f aca="false">IF(ISNUMBER(H6),Веса!$B$10,0)</f>
        <v>10</v>
      </c>
      <c r="AA6" s="2" t="n">
        <f aca="false">IF(ISNUMBER(I6),Веса!$B$11,0)</f>
        <v>10</v>
      </c>
    </row>
    <row r="7" customFormat="false" ht="15" hidden="false" customHeight="false" outlineLevel="0" collapsed="false">
      <c r="A7" s="2" t="str">
        <f aca="false">IF(Сравнение!A7="","",Сравнение!A7)</f>
        <v>Пример C</v>
      </c>
      <c r="B7" s="21" t="n">
        <f aca="false">IF(OR(NOT(ISNUMBER(Сравнение!M7)),COUNT(Сравнение!$M$5:$M$14)&lt;2),"",IF(MAX(Сравнение!$M$5:$M$14)=MIN(Сравнение!$M$5:$M$14),0.5,(Сравнение!M7-MIN(Сравнение!$M$5:$M$14))/(MAX(Сравнение!$M$5:$M$14)-MIN(Сравнение!$M$5:$M$14))))</f>
        <v>1</v>
      </c>
      <c r="C7" s="21" t="n">
        <f aca="false">IF(OR(NOT(ISNUMBER(Сравнение!N7)),COUNT(Сравнение!$N$5:$N$14)&lt;2),"",IF(MAX(Сравнение!$N$5:$N$14)=MIN(Сравнение!$N$5:$N$14),0.5,(Сравнение!N7-MIN(Сравнение!$N$5:$N$14))/(MAX(Сравнение!$N$5:$N$14)-MIN(Сравнение!$N$5:$N$14))))</f>
        <v>1</v>
      </c>
      <c r="D7" s="21" t="n">
        <f aca="false">IF(OR(NOT(ISNUMBER(Сравнение!O7)),COUNT(Сравнение!$O$5:$O$14)&lt;2),"",IF(MAX(Сравнение!$O$5:$O$14)=MIN(Сравнение!$O$5:$O$14),0.5,(MAX(Сравнение!$O$5:$O$14)-Сравнение!O7)/(MAX(Сравнение!$O$5:$O$14)-MIN(Сравнение!$O$5:$O$14))))</f>
        <v>0</v>
      </c>
      <c r="E7" s="21" t="n">
        <f aca="false">IF(OR(NOT(ISNUMBER(Сравнение!P7)),COUNT(Сравнение!$P$5:$P$14)&lt;2),"",IF(MAX(Сравнение!$P$5:$P$14)=MIN(Сравнение!$P$5:$P$14),0.5,(MAX(Сравнение!$P$5:$P$14)-Сравнение!P7)/(MAX(Сравнение!$P$5:$P$14)-MIN(Сравнение!$P$5:$P$14))))</f>
        <v>0</v>
      </c>
      <c r="F7" s="21" t="n">
        <f aca="false">IF(OR(NOT(ISNUMBER(Сравнение!J7)),COUNT(Сравнение!$J$5:$J$14)&lt;2),"",IF(MAX(Сравнение!$J$5:$J$14)=MIN(Сравнение!$J$5:$J$14),0.5,(Сравнение!J7-MIN(Сравнение!$J$5:$J$14))/(MAX(Сравнение!$J$5:$J$14)-MIN(Сравнение!$J$5:$J$14))))</f>
        <v>0</v>
      </c>
      <c r="G7" s="21" t="n">
        <f aca="false">IF(OR(NOT(ISNUMBER(Сравнение!K7)),COUNT(Сравнение!$K$5:$K$14)&lt;2),"",IF(MAX(Сравнение!$K$5:$K$14)=MIN(Сравнение!$K$5:$K$14),0.5,(MAX(Сравнение!$K$5:$K$14)-Сравнение!K7)/(MAX(Сравнение!$K$5:$K$14)-MIN(Сравнение!$K$5:$K$14))))</f>
        <v>1</v>
      </c>
      <c r="H7" s="21" t="n">
        <f aca="false">IF(OR(NOT(ISNUMBER(Сравнение!Q7)),COUNT(Сравнение!$Q$5:$Q$14)&lt;2),"",IF(MAX(Сравнение!$Q$5:$Q$14)=MIN(Сравнение!$Q$5:$Q$14),0.5,(MAX(Сравнение!$Q$5:$Q$14)-Сравнение!Q7)/(MAX(Сравнение!$Q$5:$Q$14)-MIN(Сравнение!$Q$5:$Q$14))))</f>
        <v>1</v>
      </c>
      <c r="I7" s="21" t="n">
        <f aca="false">IF(OR(NOT(ISNUMBER(Сравнение!L7)),COUNT(Сравнение!$L$5:$L$14)&lt;2),"",IF(MAX(Сравнение!$L$5:$L$14)=MIN(Сравнение!$L$5:$L$14),0.5,(Сравнение!L7-MIN(Сравнение!$L$5:$L$14))/(MAX(Сравнение!$L$5:$L$14)-MIN(Сравнение!$L$5:$L$14))))</f>
        <v>0</v>
      </c>
      <c r="J7" s="2"/>
      <c r="K7" s="22" t="n">
        <f aca="false">IF(OR(Сравнение!A7="",SUM(T7:AA7)=0),"",100*SUM(L7:S7)/SUM(T7:AA7))</f>
        <v>50</v>
      </c>
      <c r="L7" s="2" t="n">
        <f aca="false">IF(ISNUMBER(B7),B7*Веса!$B$4,0)</f>
        <v>15</v>
      </c>
      <c r="M7" s="2" t="n">
        <f aca="false">IF(ISNUMBER(C7),C7*Веса!$B$5,0)</f>
        <v>15</v>
      </c>
      <c r="N7" s="2" t="n">
        <f aca="false">IF(ISNUMBER(D7),D7*Веса!$B$6,0)</f>
        <v>0</v>
      </c>
      <c r="O7" s="2" t="n">
        <f aca="false">IF(ISNUMBER(E7),E7*Веса!$B$7,0)</f>
        <v>0</v>
      </c>
      <c r="P7" s="2" t="n">
        <f aca="false">IF(ISNUMBER(F7),F7*Веса!$B$8,0)</f>
        <v>0</v>
      </c>
      <c r="Q7" s="2" t="n">
        <f aca="false">IF(ISNUMBER(G7),G7*Веса!$B$9,0)</f>
        <v>10</v>
      </c>
      <c r="R7" s="2" t="n">
        <f aca="false">IF(ISNUMBER(H7),H7*Веса!$B$10,0)</f>
        <v>10</v>
      </c>
      <c r="S7" s="2" t="n">
        <f aca="false">IF(ISNUMBER(I7),I7*Веса!$B$11,0)</f>
        <v>0</v>
      </c>
      <c r="T7" s="2" t="n">
        <f aca="false">IF(ISNUMBER(B7),Веса!$B$4,0)</f>
        <v>15</v>
      </c>
      <c r="U7" s="2" t="n">
        <f aca="false">IF(ISNUMBER(C7),Веса!$B$5,0)</f>
        <v>15</v>
      </c>
      <c r="V7" s="2" t="n">
        <f aca="false">IF(ISNUMBER(D7),Веса!$B$6,0)</f>
        <v>10</v>
      </c>
      <c r="W7" s="2" t="n">
        <f aca="false">IF(ISNUMBER(E7),Веса!$B$7,0)</f>
        <v>15</v>
      </c>
      <c r="X7" s="2" t="n">
        <f aca="false">IF(ISNUMBER(F7),Веса!$B$8,0)</f>
        <v>15</v>
      </c>
      <c r="Y7" s="2" t="n">
        <f aca="false">IF(ISNUMBER(G7),Веса!$B$9,0)</f>
        <v>10</v>
      </c>
      <c r="Z7" s="2" t="n">
        <f aca="false">IF(ISNUMBER(H7),Веса!$B$10,0)</f>
        <v>10</v>
      </c>
      <c r="AA7" s="2" t="n">
        <f aca="false">IF(ISNUMBER(I7),Веса!$B$11,0)</f>
        <v>10</v>
      </c>
    </row>
    <row r="8" customFormat="false" ht="15" hidden="false" customHeight="false" outlineLevel="0" collapsed="false">
      <c r="A8" s="2" t="str">
        <f aca="false">IF(Сравнение!A8="","",Сравнение!A8)</f>
        <v/>
      </c>
      <c r="B8" s="21" t="str">
        <f aca="false">IF(OR(NOT(ISNUMBER(Сравнение!M8)),COUNT(Сравнение!$M$5:$M$14)&lt;2),"",IF(MAX(Сравнение!$M$5:$M$14)=MIN(Сравнение!$M$5:$M$14),0.5,(Сравнение!M8-MIN(Сравнение!$M$5:$M$14))/(MAX(Сравнение!$M$5:$M$14)-MIN(Сравнение!$M$5:$M$14))))</f>
        <v/>
      </c>
      <c r="C8" s="21" t="str">
        <f aca="false">IF(OR(NOT(ISNUMBER(Сравнение!N8)),COUNT(Сравнение!$N$5:$N$14)&lt;2),"",IF(MAX(Сравнение!$N$5:$N$14)=MIN(Сравнение!$N$5:$N$14),0.5,(Сравнение!N8-MIN(Сравнение!$N$5:$N$14))/(MAX(Сравнение!$N$5:$N$14)-MIN(Сравнение!$N$5:$N$14))))</f>
        <v/>
      </c>
      <c r="D8" s="21" t="str">
        <f aca="false">IF(OR(NOT(ISNUMBER(Сравнение!O8)),COUNT(Сравнение!$O$5:$O$14)&lt;2),"",IF(MAX(Сравнение!$O$5:$O$14)=MIN(Сравнение!$O$5:$O$14),0.5,(MAX(Сравнение!$O$5:$O$14)-Сравнение!O8)/(MAX(Сравнение!$O$5:$O$14)-MIN(Сравнение!$O$5:$O$14))))</f>
        <v/>
      </c>
      <c r="E8" s="21" t="str">
        <f aca="false">IF(OR(NOT(ISNUMBER(Сравнение!P8)),COUNT(Сравнение!$P$5:$P$14)&lt;2),"",IF(MAX(Сравнение!$P$5:$P$14)=MIN(Сравнение!$P$5:$P$14),0.5,(MAX(Сравнение!$P$5:$P$14)-Сравнение!P8)/(MAX(Сравнение!$P$5:$P$14)-MIN(Сравнение!$P$5:$P$14))))</f>
        <v/>
      </c>
      <c r="F8" s="21" t="str">
        <f aca="false">IF(OR(NOT(ISNUMBER(Сравнение!J8)),COUNT(Сравнение!$J$5:$J$14)&lt;2),"",IF(MAX(Сравнение!$J$5:$J$14)=MIN(Сравнение!$J$5:$J$14),0.5,(Сравнение!J8-MIN(Сравнение!$J$5:$J$14))/(MAX(Сравнение!$J$5:$J$14)-MIN(Сравнение!$J$5:$J$14))))</f>
        <v/>
      </c>
      <c r="G8" s="21" t="str">
        <f aca="false">IF(OR(NOT(ISNUMBER(Сравнение!K8)),COUNT(Сравнение!$K$5:$K$14)&lt;2),"",IF(MAX(Сравнение!$K$5:$K$14)=MIN(Сравнение!$K$5:$K$14),0.5,(MAX(Сравнение!$K$5:$K$14)-Сравнение!K8)/(MAX(Сравнение!$K$5:$K$14)-MIN(Сравнение!$K$5:$K$14))))</f>
        <v/>
      </c>
      <c r="H8" s="21" t="str">
        <f aca="false">IF(OR(NOT(ISNUMBER(Сравнение!Q8)),COUNT(Сравнение!$Q$5:$Q$14)&lt;2),"",IF(MAX(Сравнение!$Q$5:$Q$14)=MIN(Сравнение!$Q$5:$Q$14),0.5,(MAX(Сравнение!$Q$5:$Q$14)-Сравнение!Q8)/(MAX(Сравнение!$Q$5:$Q$14)-MIN(Сравнение!$Q$5:$Q$14))))</f>
        <v/>
      </c>
      <c r="I8" s="21" t="str">
        <f aca="false">IF(OR(NOT(ISNUMBER(Сравнение!L8)),COUNT(Сравнение!$L$5:$L$14)&lt;2),"",IF(MAX(Сравнение!$L$5:$L$14)=MIN(Сравнение!$L$5:$L$14),0.5,(Сравнение!L8-MIN(Сравнение!$L$5:$L$14))/(MAX(Сравнение!$L$5:$L$14)-MIN(Сравнение!$L$5:$L$14))))</f>
        <v/>
      </c>
      <c r="J8" s="2"/>
      <c r="K8" s="22" t="str">
        <f aca="false">IF(OR(Сравнение!A8="",SUM(T8:AA8)=0),"",100*SUM(L8:S8)/SUM(T8:AA8))</f>
        <v/>
      </c>
      <c r="L8" s="2" t="n">
        <f aca="false">IF(ISNUMBER(B8),B8*Веса!$B$4,0)</f>
        <v>0</v>
      </c>
      <c r="M8" s="2" t="n">
        <f aca="false">IF(ISNUMBER(C8),C8*Веса!$B$5,0)</f>
        <v>0</v>
      </c>
      <c r="N8" s="2" t="n">
        <f aca="false">IF(ISNUMBER(D8),D8*Веса!$B$6,0)</f>
        <v>0</v>
      </c>
      <c r="O8" s="2" t="n">
        <f aca="false">IF(ISNUMBER(E8),E8*Веса!$B$7,0)</f>
        <v>0</v>
      </c>
      <c r="P8" s="2" t="n">
        <f aca="false">IF(ISNUMBER(F8),F8*Веса!$B$8,0)</f>
        <v>0</v>
      </c>
      <c r="Q8" s="2" t="n">
        <f aca="false">IF(ISNUMBER(G8),G8*Веса!$B$9,0)</f>
        <v>0</v>
      </c>
      <c r="R8" s="2" t="n">
        <f aca="false">IF(ISNUMBER(H8),H8*Веса!$B$10,0)</f>
        <v>0</v>
      </c>
      <c r="S8" s="2" t="n">
        <f aca="false">IF(ISNUMBER(I8),I8*Веса!$B$11,0)</f>
        <v>0</v>
      </c>
      <c r="T8" s="2" t="n">
        <f aca="false">IF(ISNUMBER(B8),Веса!$B$4,0)</f>
        <v>0</v>
      </c>
      <c r="U8" s="2" t="n">
        <f aca="false">IF(ISNUMBER(C8),Веса!$B$5,0)</f>
        <v>0</v>
      </c>
      <c r="V8" s="2" t="n">
        <f aca="false">IF(ISNUMBER(D8),Веса!$B$6,0)</f>
        <v>0</v>
      </c>
      <c r="W8" s="2" t="n">
        <f aca="false">IF(ISNUMBER(E8),Веса!$B$7,0)</f>
        <v>0</v>
      </c>
      <c r="X8" s="2" t="n">
        <f aca="false">IF(ISNUMBER(F8),Веса!$B$8,0)</f>
        <v>0</v>
      </c>
      <c r="Y8" s="2" t="n">
        <f aca="false">IF(ISNUMBER(G8),Веса!$B$9,0)</f>
        <v>0</v>
      </c>
      <c r="Z8" s="2" t="n">
        <f aca="false">IF(ISNUMBER(H8),Веса!$B$10,0)</f>
        <v>0</v>
      </c>
      <c r="AA8" s="2" t="n">
        <f aca="false">IF(ISNUMBER(I8),Веса!$B$11,0)</f>
        <v>0</v>
      </c>
    </row>
    <row r="9" customFormat="false" ht="15" hidden="false" customHeight="false" outlineLevel="0" collapsed="false">
      <c r="A9" s="2" t="str">
        <f aca="false">IF(Сравнение!A9="","",Сравнение!A9)</f>
        <v/>
      </c>
      <c r="B9" s="21" t="str">
        <f aca="false">IF(OR(NOT(ISNUMBER(Сравнение!M9)),COUNT(Сравнение!$M$5:$M$14)&lt;2),"",IF(MAX(Сравнение!$M$5:$M$14)=MIN(Сравнение!$M$5:$M$14),0.5,(Сравнение!M9-MIN(Сравнение!$M$5:$M$14))/(MAX(Сравнение!$M$5:$M$14)-MIN(Сравнение!$M$5:$M$14))))</f>
        <v/>
      </c>
      <c r="C9" s="21" t="str">
        <f aca="false">IF(OR(NOT(ISNUMBER(Сравнение!N9)),COUNT(Сравнение!$N$5:$N$14)&lt;2),"",IF(MAX(Сравнение!$N$5:$N$14)=MIN(Сравнение!$N$5:$N$14),0.5,(Сравнение!N9-MIN(Сравнение!$N$5:$N$14))/(MAX(Сравнение!$N$5:$N$14)-MIN(Сравнение!$N$5:$N$14))))</f>
        <v/>
      </c>
      <c r="D9" s="21" t="str">
        <f aca="false">IF(OR(NOT(ISNUMBER(Сравнение!O9)),COUNT(Сравнение!$O$5:$O$14)&lt;2),"",IF(MAX(Сравнение!$O$5:$O$14)=MIN(Сравнение!$O$5:$O$14),0.5,(MAX(Сравнение!$O$5:$O$14)-Сравнение!O9)/(MAX(Сравнение!$O$5:$O$14)-MIN(Сравнение!$O$5:$O$14))))</f>
        <v/>
      </c>
      <c r="E9" s="21" t="str">
        <f aca="false">IF(OR(NOT(ISNUMBER(Сравнение!P9)),COUNT(Сравнение!$P$5:$P$14)&lt;2),"",IF(MAX(Сравнение!$P$5:$P$14)=MIN(Сравнение!$P$5:$P$14),0.5,(MAX(Сравнение!$P$5:$P$14)-Сравнение!P9)/(MAX(Сравнение!$P$5:$P$14)-MIN(Сравнение!$P$5:$P$14))))</f>
        <v/>
      </c>
      <c r="F9" s="21" t="str">
        <f aca="false">IF(OR(NOT(ISNUMBER(Сравнение!J9)),COUNT(Сравнение!$J$5:$J$14)&lt;2),"",IF(MAX(Сравнение!$J$5:$J$14)=MIN(Сравнение!$J$5:$J$14),0.5,(Сравнение!J9-MIN(Сравнение!$J$5:$J$14))/(MAX(Сравнение!$J$5:$J$14)-MIN(Сравнение!$J$5:$J$14))))</f>
        <v/>
      </c>
      <c r="G9" s="21" t="str">
        <f aca="false">IF(OR(NOT(ISNUMBER(Сравнение!K9)),COUNT(Сравнение!$K$5:$K$14)&lt;2),"",IF(MAX(Сравнение!$K$5:$K$14)=MIN(Сравнение!$K$5:$K$14),0.5,(MAX(Сравнение!$K$5:$K$14)-Сравнение!K9)/(MAX(Сравнение!$K$5:$K$14)-MIN(Сравнение!$K$5:$K$14))))</f>
        <v/>
      </c>
      <c r="H9" s="21" t="str">
        <f aca="false">IF(OR(NOT(ISNUMBER(Сравнение!Q9)),COUNT(Сравнение!$Q$5:$Q$14)&lt;2),"",IF(MAX(Сравнение!$Q$5:$Q$14)=MIN(Сравнение!$Q$5:$Q$14),0.5,(MAX(Сравнение!$Q$5:$Q$14)-Сравнение!Q9)/(MAX(Сравнение!$Q$5:$Q$14)-MIN(Сравнение!$Q$5:$Q$14))))</f>
        <v/>
      </c>
      <c r="I9" s="21" t="str">
        <f aca="false">IF(OR(NOT(ISNUMBER(Сравнение!L9)),COUNT(Сравнение!$L$5:$L$14)&lt;2),"",IF(MAX(Сравнение!$L$5:$L$14)=MIN(Сравнение!$L$5:$L$14),0.5,(Сравнение!L9-MIN(Сравнение!$L$5:$L$14))/(MAX(Сравнение!$L$5:$L$14)-MIN(Сравнение!$L$5:$L$14))))</f>
        <v/>
      </c>
      <c r="J9" s="2"/>
      <c r="K9" s="22" t="str">
        <f aca="false">IF(OR(Сравнение!A9="",SUM(T9:AA9)=0),"",100*SUM(L9:S9)/SUM(T9:AA9))</f>
        <v/>
      </c>
      <c r="L9" s="2" t="n">
        <f aca="false">IF(ISNUMBER(B9),B9*Веса!$B$4,0)</f>
        <v>0</v>
      </c>
      <c r="M9" s="2" t="n">
        <f aca="false">IF(ISNUMBER(C9),C9*Веса!$B$5,0)</f>
        <v>0</v>
      </c>
      <c r="N9" s="2" t="n">
        <f aca="false">IF(ISNUMBER(D9),D9*Веса!$B$6,0)</f>
        <v>0</v>
      </c>
      <c r="O9" s="2" t="n">
        <f aca="false">IF(ISNUMBER(E9),E9*Веса!$B$7,0)</f>
        <v>0</v>
      </c>
      <c r="P9" s="2" t="n">
        <f aca="false">IF(ISNUMBER(F9),F9*Веса!$B$8,0)</f>
        <v>0</v>
      </c>
      <c r="Q9" s="2" t="n">
        <f aca="false">IF(ISNUMBER(G9),G9*Веса!$B$9,0)</f>
        <v>0</v>
      </c>
      <c r="R9" s="2" t="n">
        <f aca="false">IF(ISNUMBER(H9),H9*Веса!$B$10,0)</f>
        <v>0</v>
      </c>
      <c r="S9" s="2" t="n">
        <f aca="false">IF(ISNUMBER(I9),I9*Веса!$B$11,0)</f>
        <v>0</v>
      </c>
      <c r="T9" s="2" t="n">
        <f aca="false">IF(ISNUMBER(B9),Веса!$B$4,0)</f>
        <v>0</v>
      </c>
      <c r="U9" s="2" t="n">
        <f aca="false">IF(ISNUMBER(C9),Веса!$B$5,0)</f>
        <v>0</v>
      </c>
      <c r="V9" s="2" t="n">
        <f aca="false">IF(ISNUMBER(D9),Веса!$B$6,0)</f>
        <v>0</v>
      </c>
      <c r="W9" s="2" t="n">
        <f aca="false">IF(ISNUMBER(E9),Веса!$B$7,0)</f>
        <v>0</v>
      </c>
      <c r="X9" s="2" t="n">
        <f aca="false">IF(ISNUMBER(F9),Веса!$B$8,0)</f>
        <v>0</v>
      </c>
      <c r="Y9" s="2" t="n">
        <f aca="false">IF(ISNUMBER(G9),Веса!$B$9,0)</f>
        <v>0</v>
      </c>
      <c r="Z9" s="2" t="n">
        <f aca="false">IF(ISNUMBER(H9),Веса!$B$10,0)</f>
        <v>0</v>
      </c>
      <c r="AA9" s="2" t="n">
        <f aca="false">IF(ISNUMBER(I9),Веса!$B$11,0)</f>
        <v>0</v>
      </c>
    </row>
    <row r="10" customFormat="false" ht="15" hidden="false" customHeight="false" outlineLevel="0" collapsed="false">
      <c r="A10" s="2" t="str">
        <f aca="false">IF(Сравнение!A10="","",Сравнение!A10)</f>
        <v/>
      </c>
      <c r="B10" s="21" t="str">
        <f aca="false">IF(OR(NOT(ISNUMBER(Сравнение!M10)),COUNT(Сравнение!$M$5:$M$14)&lt;2),"",IF(MAX(Сравнение!$M$5:$M$14)=MIN(Сравнение!$M$5:$M$14),0.5,(Сравнение!M10-MIN(Сравнение!$M$5:$M$14))/(MAX(Сравнение!$M$5:$M$14)-MIN(Сравнение!$M$5:$M$14))))</f>
        <v/>
      </c>
      <c r="C10" s="21" t="str">
        <f aca="false">IF(OR(NOT(ISNUMBER(Сравнение!N10)),COUNT(Сравнение!$N$5:$N$14)&lt;2),"",IF(MAX(Сравнение!$N$5:$N$14)=MIN(Сравнение!$N$5:$N$14),0.5,(Сравнение!N10-MIN(Сравнение!$N$5:$N$14))/(MAX(Сравнение!$N$5:$N$14)-MIN(Сравнение!$N$5:$N$14))))</f>
        <v/>
      </c>
      <c r="D10" s="21" t="str">
        <f aca="false">IF(OR(NOT(ISNUMBER(Сравнение!O10)),COUNT(Сравнение!$O$5:$O$14)&lt;2),"",IF(MAX(Сравнение!$O$5:$O$14)=MIN(Сравнение!$O$5:$O$14),0.5,(MAX(Сравнение!$O$5:$O$14)-Сравнение!O10)/(MAX(Сравнение!$O$5:$O$14)-MIN(Сравнение!$O$5:$O$14))))</f>
        <v/>
      </c>
      <c r="E10" s="21" t="str">
        <f aca="false">IF(OR(NOT(ISNUMBER(Сравнение!P10)),COUNT(Сравнение!$P$5:$P$14)&lt;2),"",IF(MAX(Сравнение!$P$5:$P$14)=MIN(Сравнение!$P$5:$P$14),0.5,(MAX(Сравнение!$P$5:$P$14)-Сравнение!P10)/(MAX(Сравнение!$P$5:$P$14)-MIN(Сравнение!$P$5:$P$14))))</f>
        <v/>
      </c>
      <c r="F10" s="21" t="str">
        <f aca="false">IF(OR(NOT(ISNUMBER(Сравнение!J10)),COUNT(Сравнение!$J$5:$J$14)&lt;2),"",IF(MAX(Сравнение!$J$5:$J$14)=MIN(Сравнение!$J$5:$J$14),0.5,(Сравнение!J10-MIN(Сравнение!$J$5:$J$14))/(MAX(Сравнение!$J$5:$J$14)-MIN(Сравнение!$J$5:$J$14))))</f>
        <v/>
      </c>
      <c r="G10" s="21" t="str">
        <f aca="false">IF(OR(NOT(ISNUMBER(Сравнение!K10)),COUNT(Сравнение!$K$5:$K$14)&lt;2),"",IF(MAX(Сравнение!$K$5:$K$14)=MIN(Сравнение!$K$5:$K$14),0.5,(MAX(Сравнение!$K$5:$K$14)-Сравнение!K10)/(MAX(Сравнение!$K$5:$K$14)-MIN(Сравнение!$K$5:$K$14))))</f>
        <v/>
      </c>
      <c r="H10" s="21" t="str">
        <f aca="false">IF(OR(NOT(ISNUMBER(Сравнение!Q10)),COUNT(Сравнение!$Q$5:$Q$14)&lt;2),"",IF(MAX(Сравнение!$Q$5:$Q$14)=MIN(Сравнение!$Q$5:$Q$14),0.5,(MAX(Сравнение!$Q$5:$Q$14)-Сравнение!Q10)/(MAX(Сравнение!$Q$5:$Q$14)-MIN(Сравнение!$Q$5:$Q$14))))</f>
        <v/>
      </c>
      <c r="I10" s="21" t="str">
        <f aca="false">IF(OR(NOT(ISNUMBER(Сравнение!L10)),COUNT(Сравнение!$L$5:$L$14)&lt;2),"",IF(MAX(Сравнение!$L$5:$L$14)=MIN(Сравнение!$L$5:$L$14),0.5,(Сравнение!L10-MIN(Сравнение!$L$5:$L$14))/(MAX(Сравнение!$L$5:$L$14)-MIN(Сравнение!$L$5:$L$14))))</f>
        <v/>
      </c>
      <c r="J10" s="2"/>
      <c r="K10" s="22" t="str">
        <f aca="false">IF(OR(Сравнение!A10="",SUM(T10:AA10)=0),"",100*SUM(L10:S10)/SUM(T10:AA10))</f>
        <v/>
      </c>
      <c r="L10" s="2" t="n">
        <f aca="false">IF(ISNUMBER(B10),B10*Веса!$B$4,0)</f>
        <v>0</v>
      </c>
      <c r="M10" s="2" t="n">
        <f aca="false">IF(ISNUMBER(C10),C10*Веса!$B$5,0)</f>
        <v>0</v>
      </c>
      <c r="N10" s="2" t="n">
        <f aca="false">IF(ISNUMBER(D10),D10*Веса!$B$6,0)</f>
        <v>0</v>
      </c>
      <c r="O10" s="2" t="n">
        <f aca="false">IF(ISNUMBER(E10),E10*Веса!$B$7,0)</f>
        <v>0</v>
      </c>
      <c r="P10" s="2" t="n">
        <f aca="false">IF(ISNUMBER(F10),F10*Веса!$B$8,0)</f>
        <v>0</v>
      </c>
      <c r="Q10" s="2" t="n">
        <f aca="false">IF(ISNUMBER(G10),G10*Веса!$B$9,0)</f>
        <v>0</v>
      </c>
      <c r="R10" s="2" t="n">
        <f aca="false">IF(ISNUMBER(H10),H10*Веса!$B$10,0)</f>
        <v>0</v>
      </c>
      <c r="S10" s="2" t="n">
        <f aca="false">IF(ISNUMBER(I10),I10*Веса!$B$11,0)</f>
        <v>0</v>
      </c>
      <c r="T10" s="2" t="n">
        <f aca="false">IF(ISNUMBER(B10),Веса!$B$4,0)</f>
        <v>0</v>
      </c>
      <c r="U10" s="2" t="n">
        <f aca="false">IF(ISNUMBER(C10),Веса!$B$5,0)</f>
        <v>0</v>
      </c>
      <c r="V10" s="2" t="n">
        <f aca="false">IF(ISNUMBER(D10),Веса!$B$6,0)</f>
        <v>0</v>
      </c>
      <c r="W10" s="2" t="n">
        <f aca="false">IF(ISNUMBER(E10),Веса!$B$7,0)</f>
        <v>0</v>
      </c>
      <c r="X10" s="2" t="n">
        <f aca="false">IF(ISNUMBER(F10),Веса!$B$8,0)</f>
        <v>0</v>
      </c>
      <c r="Y10" s="2" t="n">
        <f aca="false">IF(ISNUMBER(G10),Веса!$B$9,0)</f>
        <v>0</v>
      </c>
      <c r="Z10" s="2" t="n">
        <f aca="false">IF(ISNUMBER(H10),Веса!$B$10,0)</f>
        <v>0</v>
      </c>
      <c r="AA10" s="2" t="n">
        <f aca="false">IF(ISNUMBER(I10),Веса!$B$11,0)</f>
        <v>0</v>
      </c>
    </row>
    <row r="11" customFormat="false" ht="15" hidden="false" customHeight="false" outlineLevel="0" collapsed="false">
      <c r="A11" s="2" t="str">
        <f aca="false">IF(Сравнение!A11="","",Сравнение!A11)</f>
        <v/>
      </c>
      <c r="B11" s="21" t="str">
        <f aca="false">IF(OR(NOT(ISNUMBER(Сравнение!M11)),COUNT(Сравнение!$M$5:$M$14)&lt;2),"",IF(MAX(Сравнение!$M$5:$M$14)=MIN(Сравнение!$M$5:$M$14),0.5,(Сравнение!M11-MIN(Сравнение!$M$5:$M$14))/(MAX(Сравнение!$M$5:$M$14)-MIN(Сравнение!$M$5:$M$14))))</f>
        <v/>
      </c>
      <c r="C11" s="21" t="str">
        <f aca="false">IF(OR(NOT(ISNUMBER(Сравнение!N11)),COUNT(Сравнение!$N$5:$N$14)&lt;2),"",IF(MAX(Сравнение!$N$5:$N$14)=MIN(Сравнение!$N$5:$N$14),0.5,(Сравнение!N11-MIN(Сравнение!$N$5:$N$14))/(MAX(Сравнение!$N$5:$N$14)-MIN(Сравнение!$N$5:$N$14))))</f>
        <v/>
      </c>
      <c r="D11" s="21" t="str">
        <f aca="false">IF(OR(NOT(ISNUMBER(Сравнение!O11)),COUNT(Сравнение!$O$5:$O$14)&lt;2),"",IF(MAX(Сравнение!$O$5:$O$14)=MIN(Сравнение!$O$5:$O$14),0.5,(MAX(Сравнение!$O$5:$O$14)-Сравнение!O11)/(MAX(Сравнение!$O$5:$O$14)-MIN(Сравнение!$O$5:$O$14))))</f>
        <v/>
      </c>
      <c r="E11" s="21" t="str">
        <f aca="false">IF(OR(NOT(ISNUMBER(Сравнение!P11)),COUNT(Сравнение!$P$5:$P$14)&lt;2),"",IF(MAX(Сравнение!$P$5:$P$14)=MIN(Сравнение!$P$5:$P$14),0.5,(MAX(Сравнение!$P$5:$P$14)-Сравнение!P11)/(MAX(Сравнение!$P$5:$P$14)-MIN(Сравнение!$P$5:$P$14))))</f>
        <v/>
      </c>
      <c r="F11" s="21" t="str">
        <f aca="false">IF(OR(NOT(ISNUMBER(Сравнение!J11)),COUNT(Сравнение!$J$5:$J$14)&lt;2),"",IF(MAX(Сравнение!$J$5:$J$14)=MIN(Сравнение!$J$5:$J$14),0.5,(Сравнение!J11-MIN(Сравнение!$J$5:$J$14))/(MAX(Сравнение!$J$5:$J$14)-MIN(Сравнение!$J$5:$J$14))))</f>
        <v/>
      </c>
      <c r="G11" s="21" t="str">
        <f aca="false">IF(OR(NOT(ISNUMBER(Сравнение!K11)),COUNT(Сравнение!$K$5:$K$14)&lt;2),"",IF(MAX(Сравнение!$K$5:$K$14)=MIN(Сравнение!$K$5:$K$14),0.5,(MAX(Сравнение!$K$5:$K$14)-Сравнение!K11)/(MAX(Сравнение!$K$5:$K$14)-MIN(Сравнение!$K$5:$K$14))))</f>
        <v/>
      </c>
      <c r="H11" s="21" t="str">
        <f aca="false">IF(OR(NOT(ISNUMBER(Сравнение!Q11)),COUNT(Сравнение!$Q$5:$Q$14)&lt;2),"",IF(MAX(Сравнение!$Q$5:$Q$14)=MIN(Сравнение!$Q$5:$Q$14),0.5,(MAX(Сравнение!$Q$5:$Q$14)-Сравнение!Q11)/(MAX(Сравнение!$Q$5:$Q$14)-MIN(Сравнение!$Q$5:$Q$14))))</f>
        <v/>
      </c>
      <c r="I11" s="21" t="str">
        <f aca="false">IF(OR(NOT(ISNUMBER(Сравнение!L11)),COUNT(Сравнение!$L$5:$L$14)&lt;2),"",IF(MAX(Сравнение!$L$5:$L$14)=MIN(Сравнение!$L$5:$L$14),0.5,(Сравнение!L11-MIN(Сравнение!$L$5:$L$14))/(MAX(Сравнение!$L$5:$L$14)-MIN(Сравнение!$L$5:$L$14))))</f>
        <v/>
      </c>
      <c r="J11" s="2"/>
      <c r="K11" s="22" t="str">
        <f aca="false">IF(OR(Сравнение!A11="",SUM(T11:AA11)=0),"",100*SUM(L11:S11)/SUM(T11:AA11))</f>
        <v/>
      </c>
      <c r="L11" s="2" t="n">
        <f aca="false">IF(ISNUMBER(B11),B11*Веса!$B$4,0)</f>
        <v>0</v>
      </c>
      <c r="M11" s="2" t="n">
        <f aca="false">IF(ISNUMBER(C11),C11*Веса!$B$5,0)</f>
        <v>0</v>
      </c>
      <c r="N11" s="2" t="n">
        <f aca="false">IF(ISNUMBER(D11),D11*Веса!$B$6,0)</f>
        <v>0</v>
      </c>
      <c r="O11" s="2" t="n">
        <f aca="false">IF(ISNUMBER(E11),E11*Веса!$B$7,0)</f>
        <v>0</v>
      </c>
      <c r="P11" s="2" t="n">
        <f aca="false">IF(ISNUMBER(F11),F11*Веса!$B$8,0)</f>
        <v>0</v>
      </c>
      <c r="Q11" s="2" t="n">
        <f aca="false">IF(ISNUMBER(G11),G11*Веса!$B$9,0)</f>
        <v>0</v>
      </c>
      <c r="R11" s="2" t="n">
        <f aca="false">IF(ISNUMBER(H11),H11*Веса!$B$10,0)</f>
        <v>0</v>
      </c>
      <c r="S11" s="2" t="n">
        <f aca="false">IF(ISNUMBER(I11),I11*Веса!$B$11,0)</f>
        <v>0</v>
      </c>
      <c r="T11" s="2" t="n">
        <f aca="false">IF(ISNUMBER(B11),Веса!$B$4,0)</f>
        <v>0</v>
      </c>
      <c r="U11" s="2" t="n">
        <f aca="false">IF(ISNUMBER(C11),Веса!$B$5,0)</f>
        <v>0</v>
      </c>
      <c r="V11" s="2" t="n">
        <f aca="false">IF(ISNUMBER(D11),Веса!$B$6,0)</f>
        <v>0</v>
      </c>
      <c r="W11" s="2" t="n">
        <f aca="false">IF(ISNUMBER(E11),Веса!$B$7,0)</f>
        <v>0</v>
      </c>
      <c r="X11" s="2" t="n">
        <f aca="false">IF(ISNUMBER(F11),Веса!$B$8,0)</f>
        <v>0</v>
      </c>
      <c r="Y11" s="2" t="n">
        <f aca="false">IF(ISNUMBER(G11),Веса!$B$9,0)</f>
        <v>0</v>
      </c>
      <c r="Z11" s="2" t="n">
        <f aca="false">IF(ISNUMBER(H11),Веса!$B$10,0)</f>
        <v>0</v>
      </c>
      <c r="AA11" s="2" t="n">
        <f aca="false">IF(ISNUMBER(I11),Веса!$B$11,0)</f>
        <v>0</v>
      </c>
    </row>
    <row r="12" customFormat="false" ht="15" hidden="false" customHeight="false" outlineLevel="0" collapsed="false">
      <c r="A12" s="2" t="str">
        <f aca="false">IF(Сравнение!A12="","",Сравнение!A12)</f>
        <v/>
      </c>
      <c r="B12" s="21" t="str">
        <f aca="false">IF(OR(NOT(ISNUMBER(Сравнение!M12)),COUNT(Сравнение!$M$5:$M$14)&lt;2),"",IF(MAX(Сравнение!$M$5:$M$14)=MIN(Сравнение!$M$5:$M$14),0.5,(Сравнение!M12-MIN(Сравнение!$M$5:$M$14))/(MAX(Сравнение!$M$5:$M$14)-MIN(Сравнение!$M$5:$M$14))))</f>
        <v/>
      </c>
      <c r="C12" s="21" t="str">
        <f aca="false">IF(OR(NOT(ISNUMBER(Сравнение!N12)),COUNT(Сравнение!$N$5:$N$14)&lt;2),"",IF(MAX(Сравнение!$N$5:$N$14)=MIN(Сравнение!$N$5:$N$14),0.5,(Сравнение!N12-MIN(Сравнение!$N$5:$N$14))/(MAX(Сравнение!$N$5:$N$14)-MIN(Сравнение!$N$5:$N$14))))</f>
        <v/>
      </c>
      <c r="D12" s="21" t="str">
        <f aca="false">IF(OR(NOT(ISNUMBER(Сравнение!O12)),COUNT(Сравнение!$O$5:$O$14)&lt;2),"",IF(MAX(Сравнение!$O$5:$O$14)=MIN(Сравнение!$O$5:$O$14),0.5,(MAX(Сравнение!$O$5:$O$14)-Сравнение!O12)/(MAX(Сравнение!$O$5:$O$14)-MIN(Сравнение!$O$5:$O$14))))</f>
        <v/>
      </c>
      <c r="E12" s="21" t="str">
        <f aca="false">IF(OR(NOT(ISNUMBER(Сравнение!P12)),COUNT(Сравнение!$P$5:$P$14)&lt;2),"",IF(MAX(Сравнение!$P$5:$P$14)=MIN(Сравнение!$P$5:$P$14),0.5,(MAX(Сравнение!$P$5:$P$14)-Сравнение!P12)/(MAX(Сравнение!$P$5:$P$14)-MIN(Сравнение!$P$5:$P$14))))</f>
        <v/>
      </c>
      <c r="F12" s="21" t="str">
        <f aca="false">IF(OR(NOT(ISNUMBER(Сравнение!J12)),COUNT(Сравнение!$J$5:$J$14)&lt;2),"",IF(MAX(Сравнение!$J$5:$J$14)=MIN(Сравнение!$J$5:$J$14),0.5,(Сравнение!J12-MIN(Сравнение!$J$5:$J$14))/(MAX(Сравнение!$J$5:$J$14)-MIN(Сравнение!$J$5:$J$14))))</f>
        <v/>
      </c>
      <c r="G12" s="21" t="str">
        <f aca="false">IF(OR(NOT(ISNUMBER(Сравнение!K12)),COUNT(Сравнение!$K$5:$K$14)&lt;2),"",IF(MAX(Сравнение!$K$5:$K$14)=MIN(Сравнение!$K$5:$K$14),0.5,(MAX(Сравнение!$K$5:$K$14)-Сравнение!K12)/(MAX(Сравнение!$K$5:$K$14)-MIN(Сравнение!$K$5:$K$14))))</f>
        <v/>
      </c>
      <c r="H12" s="21" t="str">
        <f aca="false">IF(OR(NOT(ISNUMBER(Сравнение!Q12)),COUNT(Сравнение!$Q$5:$Q$14)&lt;2),"",IF(MAX(Сравнение!$Q$5:$Q$14)=MIN(Сравнение!$Q$5:$Q$14),0.5,(MAX(Сравнение!$Q$5:$Q$14)-Сравнение!Q12)/(MAX(Сравнение!$Q$5:$Q$14)-MIN(Сравнение!$Q$5:$Q$14))))</f>
        <v/>
      </c>
      <c r="I12" s="21" t="str">
        <f aca="false">IF(OR(NOT(ISNUMBER(Сравнение!L12)),COUNT(Сравнение!$L$5:$L$14)&lt;2),"",IF(MAX(Сравнение!$L$5:$L$14)=MIN(Сравнение!$L$5:$L$14),0.5,(Сравнение!L12-MIN(Сравнение!$L$5:$L$14))/(MAX(Сравнение!$L$5:$L$14)-MIN(Сравнение!$L$5:$L$14))))</f>
        <v/>
      </c>
      <c r="J12" s="2"/>
      <c r="K12" s="22" t="str">
        <f aca="false">IF(OR(Сравнение!A12="",SUM(T12:AA12)=0),"",100*SUM(L12:S12)/SUM(T12:AA12))</f>
        <v/>
      </c>
      <c r="L12" s="2" t="n">
        <f aca="false">IF(ISNUMBER(B12),B12*Веса!$B$4,0)</f>
        <v>0</v>
      </c>
      <c r="M12" s="2" t="n">
        <f aca="false">IF(ISNUMBER(C12),C12*Веса!$B$5,0)</f>
        <v>0</v>
      </c>
      <c r="N12" s="2" t="n">
        <f aca="false">IF(ISNUMBER(D12),D12*Веса!$B$6,0)</f>
        <v>0</v>
      </c>
      <c r="O12" s="2" t="n">
        <f aca="false">IF(ISNUMBER(E12),E12*Веса!$B$7,0)</f>
        <v>0</v>
      </c>
      <c r="P12" s="2" t="n">
        <f aca="false">IF(ISNUMBER(F12),F12*Веса!$B$8,0)</f>
        <v>0</v>
      </c>
      <c r="Q12" s="2" t="n">
        <f aca="false">IF(ISNUMBER(G12),G12*Веса!$B$9,0)</f>
        <v>0</v>
      </c>
      <c r="R12" s="2" t="n">
        <f aca="false">IF(ISNUMBER(H12),H12*Веса!$B$10,0)</f>
        <v>0</v>
      </c>
      <c r="S12" s="2" t="n">
        <f aca="false">IF(ISNUMBER(I12),I12*Веса!$B$11,0)</f>
        <v>0</v>
      </c>
      <c r="T12" s="2" t="n">
        <f aca="false">IF(ISNUMBER(B12),Веса!$B$4,0)</f>
        <v>0</v>
      </c>
      <c r="U12" s="2" t="n">
        <f aca="false">IF(ISNUMBER(C12),Веса!$B$5,0)</f>
        <v>0</v>
      </c>
      <c r="V12" s="2" t="n">
        <f aca="false">IF(ISNUMBER(D12),Веса!$B$6,0)</f>
        <v>0</v>
      </c>
      <c r="W12" s="2" t="n">
        <f aca="false">IF(ISNUMBER(E12),Веса!$B$7,0)</f>
        <v>0</v>
      </c>
      <c r="X12" s="2" t="n">
        <f aca="false">IF(ISNUMBER(F12),Веса!$B$8,0)</f>
        <v>0</v>
      </c>
      <c r="Y12" s="2" t="n">
        <f aca="false">IF(ISNUMBER(G12),Веса!$B$9,0)</f>
        <v>0</v>
      </c>
      <c r="Z12" s="2" t="n">
        <f aca="false">IF(ISNUMBER(H12),Веса!$B$10,0)</f>
        <v>0</v>
      </c>
      <c r="AA12" s="2" t="n">
        <f aca="false">IF(ISNUMBER(I12),Веса!$B$11,0)</f>
        <v>0</v>
      </c>
    </row>
    <row r="13" customFormat="false" ht="15" hidden="false" customHeight="false" outlineLevel="0" collapsed="false">
      <c r="A13" s="2" t="str">
        <f aca="false">IF(Сравнение!A13="","",Сравнение!A13)</f>
        <v/>
      </c>
      <c r="B13" s="21" t="str">
        <f aca="false">IF(OR(NOT(ISNUMBER(Сравнение!M13)),COUNT(Сравнение!$M$5:$M$14)&lt;2),"",IF(MAX(Сравнение!$M$5:$M$14)=MIN(Сравнение!$M$5:$M$14),0.5,(Сравнение!M13-MIN(Сравнение!$M$5:$M$14))/(MAX(Сравнение!$M$5:$M$14)-MIN(Сравнение!$M$5:$M$14))))</f>
        <v/>
      </c>
      <c r="C13" s="21" t="str">
        <f aca="false">IF(OR(NOT(ISNUMBER(Сравнение!N13)),COUNT(Сравнение!$N$5:$N$14)&lt;2),"",IF(MAX(Сравнение!$N$5:$N$14)=MIN(Сравнение!$N$5:$N$14),0.5,(Сравнение!N13-MIN(Сравнение!$N$5:$N$14))/(MAX(Сравнение!$N$5:$N$14)-MIN(Сравнение!$N$5:$N$14))))</f>
        <v/>
      </c>
      <c r="D13" s="21" t="str">
        <f aca="false">IF(OR(NOT(ISNUMBER(Сравнение!O13)),COUNT(Сравнение!$O$5:$O$14)&lt;2),"",IF(MAX(Сравнение!$O$5:$O$14)=MIN(Сравнение!$O$5:$O$14),0.5,(MAX(Сравнение!$O$5:$O$14)-Сравнение!O13)/(MAX(Сравнение!$O$5:$O$14)-MIN(Сравнение!$O$5:$O$14))))</f>
        <v/>
      </c>
      <c r="E13" s="21" t="str">
        <f aca="false">IF(OR(NOT(ISNUMBER(Сравнение!P13)),COUNT(Сравнение!$P$5:$P$14)&lt;2),"",IF(MAX(Сравнение!$P$5:$P$14)=MIN(Сравнение!$P$5:$P$14),0.5,(MAX(Сравнение!$P$5:$P$14)-Сравнение!P13)/(MAX(Сравнение!$P$5:$P$14)-MIN(Сравнение!$P$5:$P$14))))</f>
        <v/>
      </c>
      <c r="F13" s="21" t="str">
        <f aca="false">IF(OR(NOT(ISNUMBER(Сравнение!J13)),COUNT(Сравнение!$J$5:$J$14)&lt;2),"",IF(MAX(Сравнение!$J$5:$J$14)=MIN(Сравнение!$J$5:$J$14),0.5,(Сравнение!J13-MIN(Сравнение!$J$5:$J$14))/(MAX(Сравнение!$J$5:$J$14)-MIN(Сравнение!$J$5:$J$14))))</f>
        <v/>
      </c>
      <c r="G13" s="21" t="str">
        <f aca="false">IF(OR(NOT(ISNUMBER(Сравнение!K13)),COUNT(Сравнение!$K$5:$K$14)&lt;2),"",IF(MAX(Сравнение!$K$5:$K$14)=MIN(Сравнение!$K$5:$K$14),0.5,(MAX(Сравнение!$K$5:$K$14)-Сравнение!K13)/(MAX(Сравнение!$K$5:$K$14)-MIN(Сравнение!$K$5:$K$14))))</f>
        <v/>
      </c>
      <c r="H13" s="21" t="str">
        <f aca="false">IF(OR(NOT(ISNUMBER(Сравнение!Q13)),COUNT(Сравнение!$Q$5:$Q$14)&lt;2),"",IF(MAX(Сравнение!$Q$5:$Q$14)=MIN(Сравнение!$Q$5:$Q$14),0.5,(MAX(Сравнение!$Q$5:$Q$14)-Сравнение!Q13)/(MAX(Сравнение!$Q$5:$Q$14)-MIN(Сравнение!$Q$5:$Q$14))))</f>
        <v/>
      </c>
      <c r="I13" s="21" t="str">
        <f aca="false">IF(OR(NOT(ISNUMBER(Сравнение!L13)),COUNT(Сравнение!$L$5:$L$14)&lt;2),"",IF(MAX(Сравнение!$L$5:$L$14)=MIN(Сравнение!$L$5:$L$14),0.5,(Сравнение!L13-MIN(Сравнение!$L$5:$L$14))/(MAX(Сравнение!$L$5:$L$14)-MIN(Сравнение!$L$5:$L$14))))</f>
        <v/>
      </c>
      <c r="J13" s="2"/>
      <c r="K13" s="22" t="str">
        <f aca="false">IF(OR(Сравнение!A13="",SUM(T13:AA13)=0),"",100*SUM(L13:S13)/SUM(T13:AA13))</f>
        <v/>
      </c>
      <c r="L13" s="2" t="n">
        <f aca="false">IF(ISNUMBER(B13),B13*Веса!$B$4,0)</f>
        <v>0</v>
      </c>
      <c r="M13" s="2" t="n">
        <f aca="false">IF(ISNUMBER(C13),C13*Веса!$B$5,0)</f>
        <v>0</v>
      </c>
      <c r="N13" s="2" t="n">
        <f aca="false">IF(ISNUMBER(D13),D13*Веса!$B$6,0)</f>
        <v>0</v>
      </c>
      <c r="O13" s="2" t="n">
        <f aca="false">IF(ISNUMBER(E13),E13*Веса!$B$7,0)</f>
        <v>0</v>
      </c>
      <c r="P13" s="2" t="n">
        <f aca="false">IF(ISNUMBER(F13),F13*Веса!$B$8,0)</f>
        <v>0</v>
      </c>
      <c r="Q13" s="2" t="n">
        <f aca="false">IF(ISNUMBER(G13),G13*Веса!$B$9,0)</f>
        <v>0</v>
      </c>
      <c r="R13" s="2" t="n">
        <f aca="false">IF(ISNUMBER(H13),H13*Веса!$B$10,0)</f>
        <v>0</v>
      </c>
      <c r="S13" s="2" t="n">
        <f aca="false">IF(ISNUMBER(I13),I13*Веса!$B$11,0)</f>
        <v>0</v>
      </c>
      <c r="T13" s="2" t="n">
        <f aca="false">IF(ISNUMBER(B13),Веса!$B$4,0)</f>
        <v>0</v>
      </c>
      <c r="U13" s="2" t="n">
        <f aca="false">IF(ISNUMBER(C13),Веса!$B$5,0)</f>
        <v>0</v>
      </c>
      <c r="V13" s="2" t="n">
        <f aca="false">IF(ISNUMBER(D13),Веса!$B$6,0)</f>
        <v>0</v>
      </c>
      <c r="W13" s="2" t="n">
        <f aca="false">IF(ISNUMBER(E13),Веса!$B$7,0)</f>
        <v>0</v>
      </c>
      <c r="X13" s="2" t="n">
        <f aca="false">IF(ISNUMBER(F13),Веса!$B$8,0)</f>
        <v>0</v>
      </c>
      <c r="Y13" s="2" t="n">
        <f aca="false">IF(ISNUMBER(G13),Веса!$B$9,0)</f>
        <v>0</v>
      </c>
      <c r="Z13" s="2" t="n">
        <f aca="false">IF(ISNUMBER(H13),Веса!$B$10,0)</f>
        <v>0</v>
      </c>
      <c r="AA13" s="2" t="n">
        <f aca="false">IF(ISNUMBER(I13),Веса!$B$11,0)</f>
        <v>0</v>
      </c>
    </row>
    <row r="14" customFormat="false" ht="15" hidden="false" customHeight="false" outlineLevel="0" collapsed="false">
      <c r="A14" s="2" t="str">
        <f aca="false">IF(Сравнение!A14="","",Сравнение!A14)</f>
        <v/>
      </c>
      <c r="B14" s="21" t="str">
        <f aca="false">IF(OR(NOT(ISNUMBER(Сравнение!M14)),COUNT(Сравнение!$M$5:$M$14)&lt;2),"",IF(MAX(Сравнение!$M$5:$M$14)=MIN(Сравнение!$M$5:$M$14),0.5,(Сравнение!M14-MIN(Сравнение!$M$5:$M$14))/(MAX(Сравнение!$M$5:$M$14)-MIN(Сравнение!$M$5:$M$14))))</f>
        <v/>
      </c>
      <c r="C14" s="21" t="str">
        <f aca="false">IF(OR(NOT(ISNUMBER(Сравнение!N14)),COUNT(Сравнение!$N$5:$N$14)&lt;2),"",IF(MAX(Сравнение!$N$5:$N$14)=MIN(Сравнение!$N$5:$N$14),0.5,(Сравнение!N14-MIN(Сравнение!$N$5:$N$14))/(MAX(Сравнение!$N$5:$N$14)-MIN(Сравнение!$N$5:$N$14))))</f>
        <v/>
      </c>
      <c r="D14" s="21" t="str">
        <f aca="false">IF(OR(NOT(ISNUMBER(Сравнение!O14)),COUNT(Сравнение!$O$5:$O$14)&lt;2),"",IF(MAX(Сравнение!$O$5:$O$14)=MIN(Сравнение!$O$5:$O$14),0.5,(MAX(Сравнение!$O$5:$O$14)-Сравнение!O14)/(MAX(Сравнение!$O$5:$O$14)-MIN(Сравнение!$O$5:$O$14))))</f>
        <v/>
      </c>
      <c r="E14" s="21" t="str">
        <f aca="false">IF(OR(NOT(ISNUMBER(Сравнение!P14)),COUNT(Сравнение!$P$5:$P$14)&lt;2),"",IF(MAX(Сравнение!$P$5:$P$14)=MIN(Сравнение!$P$5:$P$14),0.5,(MAX(Сравнение!$P$5:$P$14)-Сравнение!P14)/(MAX(Сравнение!$P$5:$P$14)-MIN(Сравнение!$P$5:$P$14))))</f>
        <v/>
      </c>
      <c r="F14" s="21" t="str">
        <f aca="false">IF(OR(NOT(ISNUMBER(Сравнение!J14)),COUNT(Сравнение!$J$5:$J$14)&lt;2),"",IF(MAX(Сравнение!$J$5:$J$14)=MIN(Сравнение!$J$5:$J$14),0.5,(Сравнение!J14-MIN(Сравнение!$J$5:$J$14))/(MAX(Сравнение!$J$5:$J$14)-MIN(Сравнение!$J$5:$J$14))))</f>
        <v/>
      </c>
      <c r="G14" s="21" t="str">
        <f aca="false">IF(OR(NOT(ISNUMBER(Сравнение!K14)),COUNT(Сравнение!$K$5:$K$14)&lt;2),"",IF(MAX(Сравнение!$K$5:$K$14)=MIN(Сравнение!$K$5:$K$14),0.5,(MAX(Сравнение!$K$5:$K$14)-Сравнение!K14)/(MAX(Сравнение!$K$5:$K$14)-MIN(Сравнение!$K$5:$K$14))))</f>
        <v/>
      </c>
      <c r="H14" s="21" t="str">
        <f aca="false">IF(OR(NOT(ISNUMBER(Сравнение!Q14)),COUNT(Сравнение!$Q$5:$Q$14)&lt;2),"",IF(MAX(Сравнение!$Q$5:$Q$14)=MIN(Сравнение!$Q$5:$Q$14),0.5,(MAX(Сравнение!$Q$5:$Q$14)-Сравнение!Q14)/(MAX(Сравнение!$Q$5:$Q$14)-MIN(Сравнение!$Q$5:$Q$14))))</f>
        <v/>
      </c>
      <c r="I14" s="21" t="str">
        <f aca="false">IF(OR(NOT(ISNUMBER(Сравнение!L14)),COUNT(Сравнение!$L$5:$L$14)&lt;2),"",IF(MAX(Сравнение!$L$5:$L$14)=MIN(Сравнение!$L$5:$L$14),0.5,(Сравнение!L14-MIN(Сравнение!$L$5:$L$14))/(MAX(Сравнение!$L$5:$L$14)-MIN(Сравнение!$L$5:$L$14))))</f>
        <v/>
      </c>
      <c r="J14" s="2"/>
      <c r="K14" s="22" t="str">
        <f aca="false">IF(OR(Сравнение!A14="",SUM(T14:AA14)=0),"",100*SUM(L14:S14)/SUM(T14:AA14))</f>
        <v/>
      </c>
      <c r="L14" s="2" t="n">
        <f aca="false">IF(ISNUMBER(B14),B14*Веса!$B$4,0)</f>
        <v>0</v>
      </c>
      <c r="M14" s="2" t="n">
        <f aca="false">IF(ISNUMBER(C14),C14*Веса!$B$5,0)</f>
        <v>0</v>
      </c>
      <c r="N14" s="2" t="n">
        <f aca="false">IF(ISNUMBER(D14),D14*Веса!$B$6,0)</f>
        <v>0</v>
      </c>
      <c r="O14" s="2" t="n">
        <f aca="false">IF(ISNUMBER(E14),E14*Веса!$B$7,0)</f>
        <v>0</v>
      </c>
      <c r="P14" s="2" t="n">
        <f aca="false">IF(ISNUMBER(F14),F14*Веса!$B$8,0)</f>
        <v>0</v>
      </c>
      <c r="Q14" s="2" t="n">
        <f aca="false">IF(ISNUMBER(G14),G14*Веса!$B$9,0)</f>
        <v>0</v>
      </c>
      <c r="R14" s="2" t="n">
        <f aca="false">IF(ISNUMBER(H14),H14*Веса!$B$10,0)</f>
        <v>0</v>
      </c>
      <c r="S14" s="2" t="n">
        <f aca="false">IF(ISNUMBER(I14),I14*Веса!$B$11,0)</f>
        <v>0</v>
      </c>
      <c r="T14" s="2" t="n">
        <f aca="false">IF(ISNUMBER(B14),Веса!$B$4,0)</f>
        <v>0</v>
      </c>
      <c r="U14" s="2" t="n">
        <f aca="false">IF(ISNUMBER(C14),Веса!$B$5,0)</f>
        <v>0</v>
      </c>
      <c r="V14" s="2" t="n">
        <f aca="false">IF(ISNUMBER(D14),Веса!$B$6,0)</f>
        <v>0</v>
      </c>
      <c r="W14" s="2" t="n">
        <f aca="false">IF(ISNUMBER(E14),Веса!$B$7,0)</f>
        <v>0</v>
      </c>
      <c r="X14" s="2" t="n">
        <f aca="false">IF(ISNUMBER(F14),Веса!$B$8,0)</f>
        <v>0</v>
      </c>
      <c r="Y14" s="2" t="n">
        <f aca="false">IF(ISNUMBER(G14),Веса!$B$9,0)</f>
        <v>0</v>
      </c>
      <c r="Z14" s="2" t="n">
        <f aca="false">IF(ISNUMBER(H14),Веса!$B$10,0)</f>
        <v>0</v>
      </c>
      <c r="AA14" s="2" t="n">
        <f aca="false">IF(ISNUMBER(I14),Веса!$B$11,0)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23" t="s">
        <v>38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24" t="s">
        <v>39</v>
      </c>
      <c r="B3" s="24" t="s">
        <v>40</v>
      </c>
      <c r="C3" s="24" t="s">
        <v>41</v>
      </c>
    </row>
    <row r="4" customFormat="false" ht="15" hidden="false" customHeight="false" outlineLevel="0" collapsed="false">
      <c r="A4" s="25" t="s">
        <v>17</v>
      </c>
      <c r="B4" s="26" t="n">
        <v>15</v>
      </c>
      <c r="C4" s="27" t="s">
        <v>42</v>
      </c>
    </row>
    <row r="5" customFormat="false" ht="15" hidden="false" customHeight="false" outlineLevel="0" collapsed="false">
      <c r="A5" s="25" t="s">
        <v>18</v>
      </c>
      <c r="B5" s="26" t="n">
        <v>15</v>
      </c>
      <c r="C5" s="27" t="s">
        <v>42</v>
      </c>
    </row>
    <row r="6" customFormat="false" ht="15" hidden="false" customHeight="false" outlineLevel="0" collapsed="false">
      <c r="A6" s="25" t="s">
        <v>19</v>
      </c>
      <c r="B6" s="26" t="n">
        <v>10</v>
      </c>
      <c r="C6" s="27" t="s">
        <v>43</v>
      </c>
    </row>
    <row r="7" customFormat="false" ht="15" hidden="false" customHeight="false" outlineLevel="0" collapsed="false">
      <c r="A7" s="25" t="s">
        <v>20</v>
      </c>
      <c r="B7" s="26" t="n">
        <v>15</v>
      </c>
      <c r="C7" s="27" t="s">
        <v>43</v>
      </c>
    </row>
    <row r="8" customFormat="false" ht="15" hidden="false" customHeight="false" outlineLevel="0" collapsed="false">
      <c r="A8" s="25" t="s">
        <v>34</v>
      </c>
      <c r="B8" s="26" t="n">
        <v>15</v>
      </c>
      <c r="C8" s="27" t="s">
        <v>42</v>
      </c>
    </row>
    <row r="9" customFormat="false" ht="15" hidden="false" customHeight="false" outlineLevel="0" collapsed="false">
      <c r="A9" s="25" t="s">
        <v>35</v>
      </c>
      <c r="B9" s="26" t="n">
        <v>10</v>
      </c>
      <c r="C9" s="27" t="s">
        <v>43</v>
      </c>
    </row>
    <row r="10" customFormat="false" ht="15" hidden="false" customHeight="false" outlineLevel="0" collapsed="false">
      <c r="A10" s="25" t="s">
        <v>21</v>
      </c>
      <c r="B10" s="26" t="n">
        <v>10</v>
      </c>
      <c r="C10" s="27" t="s">
        <v>43</v>
      </c>
    </row>
    <row r="11" customFormat="false" ht="15" hidden="false" customHeight="false" outlineLevel="0" collapsed="false">
      <c r="A11" s="25" t="s">
        <v>36</v>
      </c>
      <c r="B11" s="26" t="n">
        <v>10</v>
      </c>
      <c r="C11" s="27" t="s">
        <v>42</v>
      </c>
    </row>
    <row r="12" customFormat="false" ht="15" hidden="false" customHeight="false" outlineLevel="0" collapsed="false">
      <c r="A12" s="20" t="s">
        <v>44</v>
      </c>
      <c r="B12" s="20" t="n">
        <f aca="false">SUM(B4:B11)</f>
        <v>100</v>
      </c>
      <c r="C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23" t="s">
        <v>45</v>
      </c>
    </row>
    <row r="3" customFormat="false" ht="15" hidden="false" customHeight="false" outlineLevel="0" collapsed="false">
      <c r="A3" s="28" t="s">
        <v>46</v>
      </c>
      <c r="B3" s="28" t="s">
        <v>47</v>
      </c>
      <c r="C3" s="28" t="s">
        <v>48</v>
      </c>
    </row>
    <row r="4" customFormat="false" ht="15" hidden="false" customHeight="false" outlineLevel="0" collapsed="false">
      <c r="A4" s="29" t="s">
        <v>49</v>
      </c>
      <c r="B4" s="29" t="s">
        <v>50</v>
      </c>
      <c r="C4" s="30" t="s">
        <v>51</v>
      </c>
    </row>
    <row r="5" customFormat="false" ht="15" hidden="false" customHeight="false" outlineLevel="0" collapsed="false">
      <c r="A5" s="29" t="s">
        <v>52</v>
      </c>
      <c r="B5" s="29" t="s">
        <v>53</v>
      </c>
      <c r="C5" s="30" t="s">
        <v>54</v>
      </c>
    </row>
    <row r="6" customFormat="false" ht="15" hidden="false" customHeight="false" outlineLevel="0" collapsed="false">
      <c r="A6" s="29" t="s">
        <v>55</v>
      </c>
      <c r="B6" s="29" t="s">
        <v>56</v>
      </c>
      <c r="C6" s="30" t="s">
        <v>57</v>
      </c>
    </row>
    <row r="7" customFormat="false" ht="15" hidden="false" customHeight="false" outlineLevel="0" collapsed="false">
      <c r="A7" s="29" t="s">
        <v>58</v>
      </c>
      <c r="B7" s="29" t="s">
        <v>59</v>
      </c>
      <c r="C7" s="30" t="s">
        <v>60</v>
      </c>
    </row>
    <row r="8" customFormat="false" ht="15" hidden="false" customHeight="false" outlineLevel="0" collapsed="false">
      <c r="A8" s="29" t="s">
        <v>61</v>
      </c>
      <c r="B8" s="29" t="s">
        <v>62</v>
      </c>
      <c r="C8" s="30" t="s">
        <v>63</v>
      </c>
    </row>
    <row r="9" customFormat="false" ht="15" hidden="false" customHeight="false" outlineLevel="0" collapsed="false">
      <c r="A9" s="29" t="s">
        <v>64</v>
      </c>
      <c r="B9" s="29" t="s">
        <v>56</v>
      </c>
      <c r="C9" s="30" t="s">
        <v>57</v>
      </c>
    </row>
    <row r="10" customFormat="false" ht="15" hidden="false" customHeight="false" outlineLevel="0" collapsed="false">
      <c r="A10" s="29" t="s">
        <v>65</v>
      </c>
      <c r="B10" s="29" t="s">
        <v>66</v>
      </c>
      <c r="C10" s="30" t="s">
        <v>67</v>
      </c>
    </row>
    <row r="11" customFormat="false" ht="15" hidden="false" customHeight="false" outlineLevel="0" collapsed="false">
      <c r="A11" s="29" t="s">
        <v>68</v>
      </c>
      <c r="B11" s="29" t="s">
        <v>69</v>
      </c>
      <c r="C11" s="30" t="s">
        <v>70</v>
      </c>
    </row>
    <row r="12" customFormat="false" ht="15" hidden="false" customHeight="false" outlineLevel="0" collapsed="false">
      <c r="A12" s="29" t="s">
        <v>68</v>
      </c>
      <c r="B12" s="29" t="s">
        <v>71</v>
      </c>
      <c r="C12" s="30" t="s">
        <v>72</v>
      </c>
    </row>
    <row r="13" customFormat="false" ht="15" hidden="false" customHeight="false" outlineLevel="0" collapsed="false">
      <c r="A13" s="29" t="s">
        <v>73</v>
      </c>
      <c r="B13" s="29" t="s">
        <v>74</v>
      </c>
      <c r="C13" s="30" t="s">
        <v>75</v>
      </c>
    </row>
    <row r="14" customFormat="false" ht="15" hidden="false" customHeight="false" outlineLevel="0" collapsed="false">
      <c r="A14" s="29" t="s">
        <v>76</v>
      </c>
      <c r="B14" s="29" t="s">
        <v>77</v>
      </c>
      <c r="C14" s="30" t="s">
        <v>78</v>
      </c>
    </row>
    <row r="17" customFormat="false" ht="15" hidden="false" customHeight="false" outlineLevel="0" collapsed="false">
      <c r="A17" s="31" t="s">
        <v>79</v>
      </c>
    </row>
    <row r="18" customFormat="false" ht="15" hidden="false" customHeight="false" outlineLevel="0" collapsed="false">
      <c r="A18" s="32" t="s">
        <v>80</v>
      </c>
    </row>
    <row r="19" customFormat="false" ht="15" hidden="false" customHeight="false" outlineLevel="0" collapsed="false">
      <c r="A19" s="32" t="s">
        <v>81</v>
      </c>
    </row>
    <row r="20" customFormat="false" ht="15" hidden="false" customHeight="false" outlineLevel="0" collapsed="false">
      <c r="A20" s="32" t="s">
        <v>82</v>
      </c>
    </row>
    <row r="21" customFormat="false" ht="15" hidden="false" customHeight="false" outlineLevel="0" collapsed="false">
      <c r="A21" s="32" t="s">
        <v>83</v>
      </c>
    </row>
    <row r="22" customFormat="false" ht="15" hidden="false" customHeight="false" outlineLevel="0" collapsed="false">
      <c r="A22" s="32" t="s">
        <v>84</v>
      </c>
    </row>
    <row r="23" customFormat="false" ht="15" hidden="false" customHeight="false" outlineLevel="0" collapsed="false">
      <c r="A23" s="32" t="s">
        <v>85</v>
      </c>
    </row>
  </sheetData>
  <hyperlinks>
    <hyperlink ref="C4" r:id="rId1" display="https://www.coingecko.com/en/categories"/>
    <hyperlink ref="C5" r:id="rId2" display="https://defillama.com/chains"/>
    <hyperlink ref="C6" r:id="rId3" display="https://app.artemis.xyz"/>
    <hyperlink ref="C7" r:id="rId4" display="https://defillama.com/fees"/>
    <hyperlink ref="C8" r:id="rId5" display="https://tokenterminal.com"/>
    <hyperlink ref="C9" r:id="rId6" display="https://app.artemis.xyz"/>
    <hyperlink ref="C10" r:id="rId7" display="https://tokenomist.ai"/>
    <hyperlink ref="C11" r:id="rId8" display="https://cryptorank.io"/>
    <hyperlink ref="C12" r:id="rId9" display="https://defillama.com/raises"/>
    <hyperlink ref="C13" r:id="rId10" display="https://www.growthepie.xyz"/>
    <hyperlink ref="C14" r:id="rId11" display="https://l2beat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2026-09-26T17:36:27Z</dcterms:created>
  <dc:creator>openpyxl</dc:creator>
  <dc:description/>
  <dc:language>en-US</dc:language>
  <cp:lastModifiedBy/>
  <dcterms:modified xsi:type="dcterms:W3CDTF">2026-09-26T17:36:27Z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